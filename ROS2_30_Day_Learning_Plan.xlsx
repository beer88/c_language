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lan_30_Days" sheetId="2" state="visible" r:id="rId4"/>
    <sheet name="Resources" sheetId="3" state="visible" r:id="rId5"/>
    <sheet name="After_30_Days" sheetId="4" state="visible" r:id="rId6"/>
  </sheets>
  <definedNames>
    <definedName function="false" hidden="true" localSheetId="1" name="_xlnm._FilterDatabase" vbProcedure="false">Plan_30_Days!$A$4:$K$34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<sst xmlns="http://schemas.openxmlformats.org/spreadsheetml/2006/main" count="405" uniqueCount="274">
  <si>
    <t xml:space="preserve">LEARN ROS 2 IN 30 DAYS - OVERVIEW</t>
  </si>
  <si>
    <t xml:space="preserve">1. THE HONEST DURATION ANSWER</t>
  </si>
  <si>
    <t xml:space="preserve">Can you learn ROS 2 in 30 days?</t>
  </si>
  <si>
    <t xml:space="preserve">YES for a working foundation: CLI, nodes/topics/services/actions, launch, URDF, TF2, Gazebo simulation, ros2_control, SLAM + Nav2 basics, and micro-ROS on a microcontroller. At ~3 hrs/day this plan is ~99 hours.</t>
  </si>
  <si>
    <t xml:space="preserve">Is 30 days enough to master it?</t>
  </si>
  <si>
    <t xml:space="preserve">NO. Job-ready / production-level skill (real hardware, tuning Nav2, perception, MoveIt, C++ depth) typically takes 3-6 months of regular practice. See the After_30_Days sheet for weeks 5-12.</t>
  </si>
  <si>
    <t xml:space="preserve">Prerequisites</t>
  </si>
  <si>
    <t xml:space="preserve">Basic Linux terminal, Python (and C/C++ basics - you already have embedded C), Git. If Linux is new, add 2-3 extra days before Day 1.</t>
  </si>
  <si>
    <t xml:space="preserve">2. PACE CALCULATOR (edit the blue cell)</t>
  </si>
  <si>
    <t xml:space="preserve">Total plan hours</t>
  </si>
  <si>
    <t xml:space="preserve">Your study hours per day</t>
  </si>
  <si>
    <t xml:space="preserve">&lt;- change me</t>
  </si>
  <si>
    <t xml:space="preserve">Days needed at your pace</t>
  </si>
  <si>
    <t xml:space="preserve">Rule of thumb</t>
  </si>
  <si>
    <t xml:space="preserve">1 hr/day = ~99 days | 2 hrs/day = ~50 days | 3 hrs/day = ~33 days | 4 hrs/day = ~25 days</t>
  </si>
  <si>
    <t xml:space="preserve">3. PROGRESS TRACKER (auto-updates from the Plan sheet)</t>
  </si>
  <si>
    <t xml:space="preserve">Days completed</t>
  </si>
  <si>
    <t xml:space="preserve">Days in progress</t>
  </si>
  <si>
    <t xml:space="preserve">Hours completed</t>
  </si>
  <si>
    <t xml:space="preserve">% complete (by hours)</t>
  </si>
  <si>
    <t xml:space="preserve">4. WEEKLY ROADMAP (color key used in the plan)</t>
  </si>
  <si>
    <t xml:space="preserve">Week 1 (Days 1-7)</t>
  </si>
  <si>
    <t xml:space="preserve">Install, CLI tools, workspace, first Python pub/sub</t>
  </si>
  <si>
    <t xml:space="preserve">Week 2 (Days 8-14)</t>
  </si>
  <si>
    <t xml:space="preserve">C++, services, custom interfaces, params, launch, actions, QoS</t>
  </si>
  <si>
    <t xml:space="preserve">Week 3 (Days 15-21)</t>
  </si>
  <si>
    <t xml:space="preserve">TF2, URDF/Xacro, Gazebo Harmonic, sensors, simulated robot</t>
  </si>
  <si>
    <t xml:space="preserve">Week 4 (Days 22-28)</t>
  </si>
  <si>
    <t xml:space="preserve">ros2_control, SLAM, Nav2, micro-ROS on MCU</t>
  </si>
  <si>
    <t xml:space="preserve">Days 29-30</t>
  </si>
  <si>
    <t xml:space="preserve">Capstone project, documentation, demo</t>
  </si>
  <si>
    <t xml:space="preserve">5. TOOLS &amp; VERSIONS USED</t>
  </si>
  <si>
    <t xml:space="preserve">ROS distribution</t>
  </si>
  <si>
    <t xml:space="preserve">ROS 2 Jazzy Jalisco (LTS, supports Ubuntu 24.04). Newer releases exist, but Jazzy is still supported and has the widest tutorial coverage + Gazebo Harmonic pairing.</t>
  </si>
  <si>
    <t xml:space="preserve">Language order</t>
  </si>
  <si>
    <t xml:space="preserve">Python (rclpy) first for speed, then C++ (rclcpp) from Day 8.</t>
  </si>
  <si>
    <t xml:space="preserve">Simulator</t>
  </si>
  <si>
    <t xml:space="preserve">Gazebo Harmonic via ros_gz (the supported pairing for Jazzy).</t>
  </si>
  <si>
    <t xml:space="preserve">Note on videos</t>
  </si>
  <si>
    <t xml:space="preserve">Some popular video series (Robocademy = Humble; older Articulated Robotics = Foxy/Humble) use older distros. Concepts are identical; only a few commands/package names differ - always cross-check with the Jazzy docs.</t>
  </si>
  <si>
    <t xml:space="preserve">Assumption</t>
  </si>
  <si>
    <t xml:space="preserve">Hours per day in the plan are my estimates for a motivated learner with some programming background - not measured data. Adjust the blue cells.</t>
  </si>
  <si>
    <t xml:space="preserve">ROS 2 (Jazzy) - 30-DAY DAY-BY-DAY PLAN</t>
  </si>
  <si>
    <t xml:space="preserve">Hours are my estimates for a focused learner (blue = editable). Docs links = official/verified pages. Video column = playlist/channel + the exact topic to search inside it. Update Status (dropdown) as you go.</t>
  </si>
  <si>
    <t xml:space="preserve">Day</t>
  </si>
  <si>
    <t xml:space="preserve">Week / Phase</t>
  </si>
  <si>
    <t xml:space="preserve">Topic</t>
  </si>
  <si>
    <t xml:space="preserve">What to do (tasks)</t>
  </si>
  <si>
    <t xml:space="preserve">Hours</t>
  </si>
  <si>
    <t xml:space="preserve">Docs / reading link</t>
  </si>
  <si>
    <t xml:space="preserve">Video lecture link</t>
  </si>
  <si>
    <t xml:space="preserve">Search inside video source</t>
  </si>
  <si>
    <t xml:space="preserve">Deliverable (proof you learned it)</t>
  </si>
  <si>
    <t xml:space="preserve">Status</t>
  </si>
  <si>
    <t xml:space="preserve">Date done</t>
  </si>
  <si>
    <t xml:space="preserve">WEEK 1 - Foundations</t>
  </si>
  <si>
    <t xml:space="preserve">Install Ubuntu 24.04 + ROS 2 Jazzy</t>
  </si>
  <si>
    <t xml:space="preserve">Set up Ubuntu 24.04 (dual-boot, VM or WSL2 is OK but native is best). Install ros-jazzy-desktop. Add 'source /opt/ros/jazzy/setup.bash' to ~/.bashrc. Run the talker/listener demo.</t>
  </si>
  <si>
    <t xml:space="preserve">https://docs.ros.org/en/jazzy/Installation.html</t>
  </si>
  <si>
    <t xml:space="preserve">https://robocademy.com/blog/open-sourcing-ros-developer-learning-path-2-0-by-robocademy</t>
  </si>
  <si>
    <t xml:space="preserve">Robocademy: ROS 2 installation / Linux basics session</t>
  </si>
  <si>
    <t xml:space="preserve">talker + listener demo running</t>
  </si>
  <si>
    <t xml:space="preserve">Not started</t>
  </si>
  <si>
    <t xml:space="preserve">CLI tools: turtlesim, nodes, rqt</t>
  </si>
  <si>
    <t xml:space="preserve">Run turtlesim, drive it with teleop. Use ros2 node list/info, rqt, rqt_graph. Understand what a node is.</t>
  </si>
  <si>
    <t xml:space="preserve">https://docs.ros.org/en/jazzy/Tutorials.html</t>
  </si>
  <si>
    <t xml:space="preserve">https://www.youtube.com/playlist?list=PL8MgID9MCju0GMQDTWzYmfiU3wY_Zdjl5</t>
  </si>
  <si>
    <t xml:space="preserve">ROS2 Tutorials playlist: nodes / turtlesim</t>
  </si>
  <si>
    <t xml:space="preserve">Screenshot of rqt_graph with turtlesim</t>
  </si>
  <si>
    <t xml:space="preserve">Topics &amp; Services (CLI)</t>
  </si>
  <si>
    <t xml:space="preserve">ros2 topic list/echo/pub/hz/info, ros2 interface show, ros2 service list/call. Understand pub/sub vs request/response.</t>
  </si>
  <si>
    <t xml:space="preserve">https://docs.ros.org/en/jazzy/Tutorials/Services/Understanding-ROS2-Services.html</t>
  </si>
  <si>
    <t xml:space="preserve">ROS2 Tutorials playlist: topics / services</t>
  </si>
  <si>
    <t xml:space="preserve">Publish a Twist to move turtle from the terminal</t>
  </si>
  <si>
    <t xml:space="preserve">Parameters, Actions, rqt_console, Launch, rosbag</t>
  </si>
  <si>
    <t xml:space="preserve">ros2 param get/set/dump, ros2 action send_goal, rqt_console, first launch file, ros2 bag record/play.</t>
  </si>
  <si>
    <t xml:space="preserve">Robocademy: ROS 2 beginner CLI sessions</t>
  </si>
  <si>
    <t xml:space="preserve">Record and replay a rosbag of turtlesim</t>
  </si>
  <si>
    <t xml:space="preserve">Workspace, colcon, packages</t>
  </si>
  <si>
    <t xml:space="preserve">Create ~/ros2_ws, create a Python package (ament_python), build with colcon build, source install/setup.bash. Learn package.xml, setup.py.</t>
  </si>
  <si>
    <t xml:space="preserve">https://www.youtube.com/@ArticulatedRobotics/videos</t>
  </si>
  <si>
    <t xml:space="preserve">Articulated Robotics: ROS workspace / packages</t>
  </si>
  <si>
    <t xml:space="preserve">Your own package builds and runs</t>
  </si>
  <si>
    <t xml:space="preserve">First publisher &amp; subscriber (Python / rclpy)</t>
  </si>
  <si>
    <t xml:space="preserve">Write a minimal publisher and subscriber in Python. Understand spin, callbacks, timers, logging.</t>
  </si>
  <si>
    <t xml:space="preserve">ROS2 Tutorials playlist: publisher subscriber python</t>
  </si>
  <si>
    <t xml:space="preserve">Two nodes talking over /chatter</t>
  </si>
  <si>
    <t xml:space="preserve">Week 1 review + mini project</t>
  </si>
  <si>
    <t xml:space="preserve">Write a node that publishes velocity commands to draw a square with turtlesim; write another node that subscribes to /turtle1/pose and logs it.</t>
  </si>
  <si>
    <t xml:space="preserve">Review videos of days 1-6 at 1.5x</t>
  </si>
  <si>
    <t xml:space="preserve">Turtlesim square-drawing node (push to GitHub)</t>
  </si>
  <si>
    <t xml:space="preserve">WEEK 2 - Core Programming</t>
  </si>
  <si>
    <t xml:space="preserve">Publisher &amp; subscriber in C++ (rclcpp)</t>
  </si>
  <si>
    <t xml:space="preserve">Repeat day 6 in C++ using ament_cmake. Compare Python vs C++ structure. (Your embedded C/C++ background will help here.)</t>
  </si>
  <si>
    <t xml:space="preserve">https://docs.ros.org/en/jazzy/Tutorials/Writing-A-Simple-Cpp-Publisher-And-Subscriber.html</t>
  </si>
  <si>
    <t xml:space="preserve">ROS2 C++ publisher subscriber</t>
  </si>
  <si>
    <t xml:space="preserve">C++ pub/sub package builds</t>
  </si>
  <si>
    <t xml:space="preserve">Services: server &amp; client</t>
  </si>
  <si>
    <t xml:space="preserve">Write a service server and client (Python first, then C++). Use AddTwoInts style service; call from CLI and from code.</t>
  </si>
  <si>
    <t xml:space="preserve">https://docs.ros.org/en/jazzy/Tutorials/Writing-A-Simple-Cpp-Service-And-Client.html</t>
  </si>
  <si>
    <t xml:space="preserve">ROS2 service server client tutorial</t>
  </si>
  <si>
    <t xml:space="preserve">Working service in both languages</t>
  </si>
  <si>
    <t xml:space="preserve">Custom messages &amp; services</t>
  </si>
  <si>
    <t xml:space="preserve">Create a separate interfaces package (my_interfaces). Define custom .msg and .srv. Use them in your nodes.</t>
  </si>
  <si>
    <t xml:space="preserve">https://docs.ros.org/en/jazzy/Tutorials/Intermediate.html</t>
  </si>
  <si>
    <t xml:space="preserve">ROS 2 custom interfaces msg srv</t>
  </si>
  <si>
    <t xml:space="preserve">my_interfaces package with 1 msg + 1 srv</t>
  </si>
  <si>
    <t xml:space="preserve">Parameters + Launch files</t>
  </si>
  <si>
    <t xml:space="preserve">Declare/use parameters in a class. Write Python launch files that start multiple nodes with YAML parameters and remapping.</t>
  </si>
  <si>
    <t xml:space="preserve">Robocademy: launch files &amp; parameters</t>
  </si>
  <si>
    <t xml:space="preserve">Launch file starting 3 nodes with a YAML config</t>
  </si>
  <si>
    <t xml:space="preserve">Actions: server &amp; client</t>
  </si>
  <si>
    <t xml:space="preserve">Write an action server/client (e.g., Countdown or Fibonacci) with feedback and cancel. Learn when to use topic vs service vs action.</t>
  </si>
  <si>
    <t xml:space="preserve">ROS 2 actions server client python</t>
  </si>
  <si>
    <t xml:space="preserve">Action with feedback working</t>
  </si>
  <si>
    <t xml:space="preserve">QoS, executors, logging, ros2doctor</t>
  </si>
  <si>
    <t xml:space="preserve">Learn QoS profiles (reliable/best-effort, durability), callback groups &amp; executors, log levels, ros2 doctor.</t>
  </si>
  <si>
    <t xml:space="preserve">https://roboticsbackend.com</t>
  </si>
  <si>
    <t xml:space="preserve">Robotics Back-End: ROS 2 QoS / executors</t>
  </si>
  <si>
    <t xml:space="preserve">QoS-mismatch demo and fix</t>
  </si>
  <si>
    <t xml:space="preserve">Week 2 mini project: sensor monitor system</t>
  </si>
  <si>
    <t xml:space="preserve">Build: simulated sensor node (params: rate, noise) -&gt; monitor node (alarm service + threshold param) -&gt; launch file. Think of it as your own telemetry pipeline.</t>
  </si>
  <si>
    <t xml:space="preserve">Review week 2 topics</t>
  </si>
  <si>
    <t xml:space="preserve">Sensor + monitor package with launch file</t>
  </si>
  <si>
    <t xml:space="preserve">WEEK 3 - Modeling &amp; Simulation</t>
  </si>
  <si>
    <t xml:space="preserve">TF2: coordinate frames</t>
  </si>
  <si>
    <t xml:space="preserve">Understand frames, static &amp; dynamic transforms, tf2_ros, view_frames, RViz2 TF display. Write a broadcaster and a listener.</t>
  </si>
  <si>
    <t xml:space="preserve">ROS2 Tutorials playlist: TF2 / RViz</t>
  </si>
  <si>
    <t xml:space="preserve">TF tree with 3+ frames in RViz2</t>
  </si>
  <si>
    <t xml:space="preserve">URDF basics</t>
  </si>
  <si>
    <t xml:space="preserve">Describe a robot: links, joints, visual/collision/inertial. Build a simple differential-drive chassis in URDF.</t>
  </si>
  <si>
    <t xml:space="preserve">https://articulatedrobotics.xyz/mobile-robot-1-project-overview/</t>
  </si>
  <si>
    <t xml:space="preserve">Articulated Robotics: URDF robot model</t>
  </si>
  <si>
    <t xml:space="preserve">chassis.urdf viewable in RViz2</t>
  </si>
  <si>
    <t xml:space="preserve">Xacro, robot_state_publisher, RViz2</t>
  </si>
  <si>
    <t xml:space="preserve">Convert URDF to Xacro (macros, properties). Use robot_state_publisher + joint_state_publisher_gui. Configure RViz2.</t>
  </si>
  <si>
    <t xml:space="preserve">https://articulatedrobotics.xyz/category/build-a-mobile-robot-with-ros</t>
  </si>
  <si>
    <t xml:space="preserve">Articulated Robotics: Xacro / robot_state_publisher</t>
  </si>
  <si>
    <t xml:space="preserve">Parametrised Xacro robot with moving wheels</t>
  </si>
  <si>
    <t xml:space="preserve">Gazebo (Harmonic) + ros_gz bridge</t>
  </si>
  <si>
    <t xml:space="preserve">Install Gazebo Harmonic + ros_gz (Jazzy pairing). Run an example world, learn gz topics, bridge a topic with ros_gz_bridge.</t>
  </si>
  <si>
    <t xml:space="preserve">https://gazebosim.org/docs/latest/ros_installation</t>
  </si>
  <si>
    <t xml:space="preserve">https://github.com/gazebosim/ros_gz</t>
  </si>
  <si>
    <t xml:space="preserve">Gazebo Harmonic ROS 2 integration tutorial</t>
  </si>
  <si>
    <t xml:space="preserve">Gazebo world running, topic bridged to ROS</t>
  </si>
  <si>
    <t xml:space="preserve">Spawn your robot in Gazebo + diff-drive</t>
  </si>
  <si>
    <t xml:space="preserve">Spawn your Xacro robot in Gazebo, add the diff-drive system plugin, drive with teleop_twist_keyboard.</t>
  </si>
  <si>
    <t xml:space="preserve">https://ros2-tutorial.readthedocs.io/en/latest/gazebo/ros_gz_bridge.html</t>
  </si>
  <si>
    <t xml:space="preserve">Articulated Robotics: Simulating robot in Gazebo</t>
  </si>
  <si>
    <t xml:space="preserve">Robot driven by keyboard in Gazebo</t>
  </si>
  <si>
    <t xml:space="preserve">Simulated sensors: LiDAR, camera, IMU</t>
  </si>
  <si>
    <t xml:space="preserve">Add LiDAR + camera + IMU to the robot, bridge topics, view in RViz2 (LaserScan, Image).</t>
  </si>
  <si>
    <t xml:space="preserve">Articulated Robotics: LIDAR / camera in simulation</t>
  </si>
  <si>
    <t xml:space="preserve">LaserScan + camera image visible in RViz2</t>
  </si>
  <si>
    <t xml:space="preserve">Week 3 mini project: simulated mobile robot</t>
  </si>
  <si>
    <t xml:space="preserve">Single launch file: Gazebo + robot + bridges + RViz2 + teleop. Clean up package structure; push to GitHub with README.</t>
  </si>
  <si>
    <t xml:space="preserve">Review week 3 topics</t>
  </si>
  <si>
    <t xml:space="preserve">One-command simulation launch (GitHub)</t>
  </si>
  <si>
    <t xml:space="preserve">WEEK 4 - Control, Nav &amp; Hardware</t>
  </si>
  <si>
    <t xml:space="preserve">ros2_control concepts</t>
  </si>
  <si>
    <t xml:space="preserve">Study controller manager, hardware interface, controllers (diff_drive_controller, joint_state_broadcaster). Read the docs end-to-end.</t>
  </si>
  <si>
    <t xml:space="preserve">https://control.ros.org/jazzy/index.html</t>
  </si>
  <si>
    <t xml:space="preserve">Articulated Robotics: ros2_control</t>
  </si>
  <si>
    <t xml:space="preserve">Diagram of ros2_control for your robot</t>
  </si>
  <si>
    <t xml:space="preserve">ros2_control with Gazebo</t>
  </si>
  <si>
    <t xml:space="preserve">Replace the diff-drive plugin with gz_ros2_control + diff_drive_controller. Load controllers from YAML.</t>
  </si>
  <si>
    <t xml:space="preserve">Articulated Robotics: ros2_control simulation</t>
  </si>
  <si>
    <t xml:space="preserve">Robot driven through ros2_control</t>
  </si>
  <si>
    <t xml:space="preserve">SLAM: build a map</t>
  </si>
  <si>
    <t xml:space="preserve">Run slam_toolbox in simulation, drive around, save the map with map_saver.</t>
  </si>
  <si>
    <t xml:space="preserve">https://automaticaddison.com/tutorials/</t>
  </si>
  <si>
    <t xml:space="preserve">Articulated Robotics: SLAM Toolbox / mapping</t>
  </si>
  <si>
    <t xml:space="preserve">Saved map.pgm + map.yaml of your world</t>
  </si>
  <si>
    <t xml:space="preserve">Nav2 introduction</t>
  </si>
  <si>
    <t xml:space="preserve">Read Nav2 concepts (planner, controller, costmaps, behavior trees). Run the Nav2 quickstart with TurtleBot3 simulation.</t>
  </si>
  <si>
    <t xml:space="preserve">https://docs.nav2.org/jazzy/getting_started/</t>
  </si>
  <si>
    <t xml:space="preserve">Robotics Back-End: ROS 2 Nav2 navigation stack</t>
  </si>
  <si>
    <t xml:space="preserve">TurtleBot3 navigating to a goal in Nav2</t>
  </si>
  <si>
    <t xml:space="preserve">Nav2 on your own robot</t>
  </si>
  <si>
    <t xml:space="preserve">Configure nav2_params.yaml for your robot + saved map, localise with AMCL, send goals from RViz2 and from a Python node.</t>
  </si>
  <si>
    <t xml:space="preserve">Articulated Robotics: Nav2 autonomous navigation</t>
  </si>
  <si>
    <t xml:space="preserve">Your robot navigates autonomously in sim</t>
  </si>
  <si>
    <t xml:space="preserve">micro-ROS: first application</t>
  </si>
  <si>
    <t xml:space="preserve">Follow the micro-ROS tutorials: first app on Linux, then on an MCU (ESP32 / STM32 / Teensy). Learn rcl/rclc API and the micro-ROS Agent.</t>
  </si>
  <si>
    <t xml:space="preserve">https://micro.ros.org/docs/tutorials/core/overview</t>
  </si>
  <si>
    <t xml:space="preserve">micro-ROS first application ESP32 / STM32</t>
  </si>
  <si>
    <t xml:space="preserve">MCU node visible in 'ros2 node list'</t>
  </si>
  <si>
    <t xml:space="preserve">micro-ROS: sensor / actuator from MCU</t>
  </si>
  <si>
    <t xml:space="preserve">Publish a real sensor value (IMU, ultrasonic, temperature) from the MCU and subscribe to a command topic to drive an LED or motor driver.</t>
  </si>
  <si>
    <t xml:space="preserve">micro-ROS publisher subscriber ESP32</t>
  </si>
  <si>
    <t xml:space="preserve">Hardware sensor data plotted in rqt / RViz2</t>
  </si>
  <si>
    <t xml:space="preserve">CAPSTONE</t>
  </si>
  <si>
    <t xml:space="preserve">Capstone build (choose one)</t>
  </si>
  <si>
    <t xml:space="preserve">Option A: Autonomous nav robot in sim with custom world, map and Python 'patrol' node using Nav2 action. Option B: MCU sensor -&gt; micro-ROS -&gt; ROS 2 dashboard (rqt_plot/Foxglove) + custom services.</t>
  </si>
  <si>
    <t xml:space="preserve">Articulated Robotics + Nav2 docs</t>
  </si>
  <si>
    <t xml:space="preserve">Capstone running end-to-end</t>
  </si>
  <si>
    <t xml:space="preserve">Finish, document, demo, self-review</t>
  </si>
  <si>
    <t xml:space="preserve">Write README with architecture diagram, record a 2-minute demo video, push to GitHub, post on ROS Discourse. List weak areas and plan the next 8 weeks (see After_30_Days sheet).</t>
  </si>
  <si>
    <t xml:space="preserve">https://discourse.openrobotics.org</t>
  </si>
  <si>
    <t xml:space="preserve">Revisit weakest topic videos</t>
  </si>
  <si>
    <t xml:space="preserve">GitHub repo + demo video + gap list</t>
  </si>
  <si>
    <t xml:space="preserve">TOTAL HOURS</t>
  </si>
  <si>
    <t xml:space="preserve">BEST RESOURCES (all free)</t>
  </si>
  <si>
    <t xml:space="preserve">Resource</t>
  </si>
  <si>
    <t xml:space="preserve">Type</t>
  </si>
  <si>
    <t xml:space="preserve">Best for</t>
  </si>
  <si>
    <t xml:space="preserve">Link</t>
  </si>
  <si>
    <t xml:space="preserve">Priority</t>
  </si>
  <si>
    <t xml:space="preserve">ROS 2 Jazzy official tutorials</t>
  </si>
  <si>
    <t xml:space="preserve">Official docs</t>
  </si>
  <si>
    <t xml:space="preserve">The core path: CLI tools, client libraries, intermediate topics. Do these in order.</t>
  </si>
  <si>
    <t xml:space="preserve">MUST</t>
  </si>
  <si>
    <t xml:space="preserve">ROS 2 Jazzy install guide</t>
  </si>
  <si>
    <t xml:space="preserve">Day 1 installation on Ubuntu 24.04.</t>
  </si>
  <si>
    <t xml:space="preserve">Articulated Robotics - Build a mobile robot with ROS</t>
  </si>
  <si>
    <t xml:space="preserve">Blog + video series</t>
  </si>
  <si>
    <t xml:space="preserve">Best URDF -&gt; Gazebo -&gt; ros2_control -&gt; SLAM -&gt; Nav2 storyline.</t>
  </si>
  <si>
    <t xml:space="preserve">Articulated Robotics YouTube channel</t>
  </si>
  <si>
    <t xml:space="preserve">YouTube channel</t>
  </si>
  <si>
    <t xml:space="preserve">Video lectures for the series above.</t>
  </si>
  <si>
    <t xml:space="preserve">ROS2 Tutorials playlist (RViz, TF2, services)</t>
  </si>
  <si>
    <t xml:space="preserve">YouTube playlist</t>
  </si>
  <si>
    <t xml:space="preserve">Short videos on RViz2, TF2 coordinate frames, service server/client.</t>
  </si>
  <si>
    <t xml:space="preserve">HIGH</t>
  </si>
  <si>
    <t xml:space="preserve">Robocademy ROS developer learning path</t>
  </si>
  <si>
    <t xml:space="preserve">120+ free live sessions</t>
  </si>
  <si>
    <t xml:space="preserve">Deep, long-form lectures with slides + GitHub notes (Humble-based).</t>
  </si>
  <si>
    <t xml:space="preserve">ros_gz (ROS &lt;-&gt; Gazebo)</t>
  </si>
  <si>
    <t xml:space="preserve">GitHub repo</t>
  </si>
  <si>
    <t xml:space="preserve">Version pairing table: Jazzy &lt;-&gt; Gazebo Harmonic.</t>
  </si>
  <si>
    <t xml:space="preserve">Gazebo - ROS installation page</t>
  </si>
  <si>
    <t xml:space="preserve">Installing Gazebo for your ROS distro.</t>
  </si>
  <si>
    <t xml:space="preserve">ros_gz_bridge guide</t>
  </si>
  <si>
    <t xml:space="preserve">Community tutorial</t>
  </si>
  <si>
    <t xml:space="preserve">Mapping Gazebo topics to ROS 2 topics.</t>
  </si>
  <si>
    <t xml:space="preserve">ros2_control (Jazzy)</t>
  </si>
  <si>
    <t xml:space="preserve">Controllers, hardware interfaces, gz_ros2_control.</t>
  </si>
  <si>
    <t xml:space="preserve">Nav2 getting started (Jazzy)</t>
  </si>
  <si>
    <t xml:space="preserve">Nav2 quickstart + concepts.</t>
  </si>
  <si>
    <t xml:space="preserve">micro-ROS tutorials</t>
  </si>
  <si>
    <t xml:space="preserve">ROS 2 on ESP32 / STM32 / Teensy - very relevant for embedded work.</t>
  </si>
  <si>
    <t xml:space="preserve">Automatic Addison</t>
  </si>
  <si>
    <t xml:space="preserve">Blog tutorials</t>
  </si>
  <si>
    <t xml:space="preserve">Step-by-step ROS 2 projects (SLAM, sensor fusion, Nav2).</t>
  </si>
  <si>
    <t xml:space="preserve">MEDIUM</t>
  </si>
  <si>
    <t xml:space="preserve">The Robotics Back-End</t>
  </si>
  <si>
    <t xml:space="preserve">Blog + YouTube</t>
  </si>
  <si>
    <t xml:space="preserve">ROS 2 guides, Nav2, learning-path articles.</t>
  </si>
  <si>
    <t xml:space="preserve">ROS Discourse</t>
  </si>
  <si>
    <t xml:space="preserve">Community forum</t>
  </si>
  <si>
    <t xml:space="preserve">Ask questions, see announcements, share your capstone.</t>
  </si>
  <si>
    <t xml:space="preserve">WEEKS 5-12: FROM FOUNDATION TO JOB-READY (suggested)</t>
  </si>
  <si>
    <t xml:space="preserve">Weeks</t>
  </si>
  <si>
    <t xml:space="preserve">Focus</t>
  </si>
  <si>
    <t xml:space="preserve">What to learn / build</t>
  </si>
  <si>
    <t xml:space="preserve">Hours / week</t>
  </si>
  <si>
    <t xml:space="preserve">Week 5-6</t>
  </si>
  <si>
    <t xml:space="preserve">Intermediate ROS 2 + C++ depth</t>
  </si>
  <si>
    <t xml:space="preserve">Composable nodes, lifecycle nodes, executors/callback groups, rosbag2 workflows, testing (launch_testing, gtest/pytest), Docker for ROS 2.</t>
  </si>
  <si>
    <t xml:space="preserve">Week 7-8</t>
  </si>
  <si>
    <t xml:space="preserve">Real hardware</t>
  </si>
  <si>
    <t xml:space="preserve">Run ROS 2 Jazzy on a Raspberry Pi 5 / Jetson, ros2_control with a real hardware interface (motors + encoders via your MCU), real IMU/LiDAR drivers.</t>
  </si>
  <si>
    <t xml:space="preserve">https://articulatedrobotics.xyz/mobile-robot-13-ros2-control-real/</t>
  </si>
  <si>
    <t xml:space="preserve">Week 9-10</t>
  </si>
  <si>
    <t xml:space="preserve">Navigation tuning + SLAM</t>
  </si>
  <si>
    <t xml:space="preserve">Tune Nav2 costmaps/controllers, behavior trees, sensor fusion (robot_localization), multi-map / waypoint following.</t>
  </si>
  <si>
    <t xml:space="preserve">Week 11</t>
  </si>
  <si>
    <t xml:space="preserve">Perception</t>
  </si>
  <si>
    <t xml:space="preserve">OpenCV with cv_bridge, depth camera, point clouds, AprilTag/ArUco detection integrated with Nav2.</t>
  </si>
  <si>
    <t xml:space="preserve">Week 12</t>
  </si>
  <si>
    <t xml:space="preserve">Portfolio / specialization</t>
  </si>
  <si>
    <t xml:space="preserve">Pick one: MoveIt 2 (arms), micro-ROS production firmware, or your own robot product. Publish a polished GitHub repo + demo video.</t>
  </si>
  <si>
    <t xml:space="preserve">Total hours (weeks 5-12, assumption-based)</t>
  </si>
  <si>
    <t xml:space="preserve">Note: week-wise hours are my rough estimates (blue = editable). Total = 30-day plan + weeks 5-12 is roughly a 3-month path.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</si>
</sst>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&quot; hrs&quot;"/>
    <numFmt numFmtId="166" formatCode="0.0&quot; hrs / day&quot;"/>
    <numFmt numFmtId="167" formatCode="0&quot; days&quot;"/>
    <numFmt numFmtId="168" formatCode="0&quot; / 30&quot;"/>
    <numFmt numFmtId="169" formatCode="0"/>
    <numFmt numFmtId="170" formatCode="0.0%"/>
    <numFmt numFmtId="171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color rgb="FF3F3151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11"/>
      <color rgb="FF3F3151"/>
      <name val="Arial"/>
      <family val="0"/>
      <charset val="1"/>
    </font>
    <font>
      <b val="true"/>
      <sz val="11"/>
      <color rgb="FF7F60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C55A11"/>
        <bgColor rgb="FF7F6000"/>
      </patternFill>
    </fill>
    <fill>
      <patternFill patternType="solid">
        <fgColor rgb="FFF2F2F2"/>
        <bgColor rgb="FFE2EFDA"/>
      </patternFill>
    </fill>
    <fill>
      <patternFill patternType="solid">
        <fgColor rgb="FF2F5597"/>
        <bgColor rgb="FF1F4E78"/>
      </patternFill>
    </fill>
    <fill>
      <patternFill patternType="solid">
        <fgColor rgb="FFFFFF99"/>
        <bgColor rgb="FFFFE699"/>
      </patternFill>
    </fill>
    <fill>
      <patternFill patternType="solid">
        <fgColor rgb="FF375623"/>
        <bgColor rgb="FF595959"/>
      </patternFill>
    </fill>
    <fill>
      <patternFill patternType="solid">
        <fgColor rgb="FF7F6000"/>
        <bgColor rgb="FF843C0C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595959"/>
        <bgColor rgb="FF375623"/>
      </patternFill>
    </fill>
    <fill>
      <patternFill patternType="solid">
        <fgColor rgb="FFD9D9D9"/>
        <bgColor rgb="FFE4DFEC"/>
      </patternFill>
    </fill>
    <fill>
      <patternFill patternType="solid">
        <fgColor rgb="FFF4B084"/>
        <bgColor rgb="FFBFBFBF"/>
      </patternFill>
    </fill>
    <fill>
      <patternFill patternType="solid">
        <fgColor rgb="FFFFE699"/>
        <bgColor rgb="FFFFFF99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2F5597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3F3151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b val="1"/>
      </font>
      <fill>
        <patternFill>
          <bgColor rgb="FFFFC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CE4D6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C6E0B4"/>
      <rgbColor rgb="FFF4B084"/>
      <rgbColor rgb="FFE4DFEC"/>
      <rgbColor rgb="FFFFE699"/>
      <rgbColor rgb="FF2F5597"/>
      <rgbColor rgb="FF33CCCC"/>
      <rgbColor rgb="FF99CC00"/>
      <rgbColor rgb="FFFFC000"/>
      <rgbColor rgb="FFFF9900"/>
      <rgbColor rgb="FFC55A11"/>
      <rgbColor rgb="FF595959"/>
      <rgbColor rgb="FF70AD47"/>
      <rgbColor rgb="FF1F3864"/>
      <rgbColor rgb="FF339966"/>
      <rgbColor rgb="FF003300"/>
      <rgbColor rgb="FF375623"/>
      <rgbColor rgb="FF843C0C"/>
      <rgbColor rgb="FF993366"/>
      <rgbColor rgb="FF1F4E78"/>
      <rgbColor rgb="FF3F3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ros.org/en/jazzy/Installation.html" TargetMode="External"/><Relationship Id="rId2" Type="http://schemas.openxmlformats.org/officeDocument/2006/relationships/hyperlink" Target="https://robocademy.com/blog/open-sourcing-ros-developer-learning-path-2-0-by-robocademy" TargetMode="External"/><Relationship Id="rId3" Type="http://schemas.openxmlformats.org/officeDocument/2006/relationships/hyperlink" Target="https://docs.ros.org/en/jazzy/Tutorials.html" TargetMode="External"/><Relationship Id="rId4" Type="http://schemas.openxmlformats.org/officeDocument/2006/relationships/hyperlink" Target="https://www.youtube.com/playlist?list=PL8MgID9MCju0GMQDTWzYmfiU3wY_Zdjl5" TargetMode="External"/><Relationship Id="rId5" Type="http://schemas.openxmlformats.org/officeDocument/2006/relationships/hyperlink" Target="https://docs.ros.org/en/jazzy/Tutorials/Services/Understanding-ROS2-Services.html" TargetMode="External"/><Relationship Id="rId6" Type="http://schemas.openxmlformats.org/officeDocument/2006/relationships/hyperlink" Target="https://www.youtube.com/playlist?list=PL8MgID9MCju0GMQDTWzYmfiU3wY_Zdjl5" TargetMode="External"/><Relationship Id="rId7" Type="http://schemas.openxmlformats.org/officeDocument/2006/relationships/hyperlink" Target="https://docs.ros.org/en/jazzy/Tutorials.html" TargetMode="External"/><Relationship Id="rId8" Type="http://schemas.openxmlformats.org/officeDocument/2006/relationships/hyperlink" Target="https://robocademy.com/blog/open-sourcing-ros-developer-learning-path-2-0-by-robocademy" TargetMode="External"/><Relationship Id="rId9" Type="http://schemas.openxmlformats.org/officeDocument/2006/relationships/hyperlink" Target="https://docs.ros.org/en/jazzy/Tutorials.html" TargetMode="External"/><Relationship Id="rId10" Type="http://schemas.openxmlformats.org/officeDocument/2006/relationships/hyperlink" Target="https://www.youtube.com/@ArticulatedRobotics/videos" TargetMode="External"/><Relationship Id="rId11" Type="http://schemas.openxmlformats.org/officeDocument/2006/relationships/hyperlink" Target="https://docs.ros.org/en/jazzy/Tutorials.html" TargetMode="External"/><Relationship Id="rId12" Type="http://schemas.openxmlformats.org/officeDocument/2006/relationships/hyperlink" Target="https://www.youtube.com/playlist?list=PL8MgID9MCju0GMQDTWzYmfiU3wY_Zdjl5" TargetMode="External"/><Relationship Id="rId13" Type="http://schemas.openxmlformats.org/officeDocument/2006/relationships/hyperlink" Target="https://docs.ros.org/en/jazzy/Tutorials.html" TargetMode="External"/><Relationship Id="rId14" Type="http://schemas.openxmlformats.org/officeDocument/2006/relationships/hyperlink" Target="https://www.youtube.com/@ArticulatedRobotics/videos" TargetMode="External"/><Relationship Id="rId15" Type="http://schemas.openxmlformats.org/officeDocument/2006/relationships/hyperlink" Target="https://docs.ros.org/en/jazzy/Tutorials/Writing-A-Simple-Cpp-Publisher-And-Subscriber.html" TargetMode="External"/><Relationship Id="rId16" Type="http://schemas.openxmlformats.org/officeDocument/2006/relationships/hyperlink" Target="https://www.youtube.com/playlist?list=PL8MgID9MCju0GMQDTWzYmfiU3wY_Zdjl5" TargetMode="External"/><Relationship Id="rId17" Type="http://schemas.openxmlformats.org/officeDocument/2006/relationships/hyperlink" Target="https://docs.ros.org/en/jazzy/Tutorials/Writing-A-Simple-Cpp-Service-And-Client.html" TargetMode="External"/><Relationship Id="rId18" Type="http://schemas.openxmlformats.org/officeDocument/2006/relationships/hyperlink" Target="https://www.youtube.com/playlist?list=PL8MgID9MCju0GMQDTWzYmfiU3wY_Zdjl5" TargetMode="External"/><Relationship Id="rId19" Type="http://schemas.openxmlformats.org/officeDocument/2006/relationships/hyperlink" Target="https://docs.ros.org/en/jazzy/Tutorials/Intermediate.html" TargetMode="External"/><Relationship Id="rId20" Type="http://schemas.openxmlformats.org/officeDocument/2006/relationships/hyperlink" Target="https://www.youtube.com/@ArticulatedRobotics/videos" TargetMode="External"/><Relationship Id="rId21" Type="http://schemas.openxmlformats.org/officeDocument/2006/relationships/hyperlink" Target="https://docs.ros.org/en/jazzy/Tutorials/Intermediate.html" TargetMode="External"/><Relationship Id="rId22" Type="http://schemas.openxmlformats.org/officeDocument/2006/relationships/hyperlink" Target="https://robocademy.com/blog/open-sourcing-ros-developer-learning-path-2-0-by-robocademy" TargetMode="External"/><Relationship Id="rId23" Type="http://schemas.openxmlformats.org/officeDocument/2006/relationships/hyperlink" Target="https://docs.ros.org/en/jazzy/Tutorials/Intermediate.html" TargetMode="External"/><Relationship Id="rId24" Type="http://schemas.openxmlformats.org/officeDocument/2006/relationships/hyperlink" Target="https://robocademy.com/blog/open-sourcing-ros-developer-learning-path-2-0-by-robocademy" TargetMode="External"/><Relationship Id="rId25" Type="http://schemas.openxmlformats.org/officeDocument/2006/relationships/hyperlink" Target="https://docs.ros.org/en/jazzy/Tutorials/Intermediate.html" TargetMode="External"/><Relationship Id="rId26" Type="http://schemas.openxmlformats.org/officeDocument/2006/relationships/hyperlink" Target="https://roboticsbackend.com/" TargetMode="External"/><Relationship Id="rId27" Type="http://schemas.openxmlformats.org/officeDocument/2006/relationships/hyperlink" Target="https://docs.ros.org/en/jazzy/Tutorials/Intermediate.html" TargetMode="External"/><Relationship Id="rId28" Type="http://schemas.openxmlformats.org/officeDocument/2006/relationships/hyperlink" Target="https://www.youtube.com/@ArticulatedRobotics/videos" TargetMode="External"/><Relationship Id="rId29" Type="http://schemas.openxmlformats.org/officeDocument/2006/relationships/hyperlink" Target="https://docs.ros.org/en/jazzy/Tutorials.html" TargetMode="External"/><Relationship Id="rId30" Type="http://schemas.openxmlformats.org/officeDocument/2006/relationships/hyperlink" Target="https://www.youtube.com/playlist?list=PL8MgID9MCju0GMQDTWzYmfiU3wY_Zdjl5" TargetMode="External"/><Relationship Id="rId31" Type="http://schemas.openxmlformats.org/officeDocument/2006/relationships/hyperlink" Target="https://articulatedrobotics.xyz/mobile-robot-1-project-overview/" TargetMode="External"/><Relationship Id="rId32" Type="http://schemas.openxmlformats.org/officeDocument/2006/relationships/hyperlink" Target="https://www.youtube.com/@ArticulatedRobotics/videos" TargetMode="External"/><Relationship Id="rId33" Type="http://schemas.openxmlformats.org/officeDocument/2006/relationships/hyperlink" Target="https://articulatedrobotics.xyz/category/build-a-mobile-robot-with-ros" TargetMode="External"/><Relationship Id="rId34" Type="http://schemas.openxmlformats.org/officeDocument/2006/relationships/hyperlink" Target="https://www.youtube.com/@ArticulatedRobotics/videos" TargetMode="External"/><Relationship Id="rId35" Type="http://schemas.openxmlformats.org/officeDocument/2006/relationships/hyperlink" Target="https://gazebosim.org/docs/latest/ros_installation" TargetMode="External"/><Relationship Id="rId36" Type="http://schemas.openxmlformats.org/officeDocument/2006/relationships/hyperlink" Target="https://github.com/gazebosim/ros_gz" TargetMode="External"/><Relationship Id="rId37" Type="http://schemas.openxmlformats.org/officeDocument/2006/relationships/hyperlink" Target="https://ros2-tutorial.readthedocs.io/en/latest/gazebo/ros_gz_bridge.html" TargetMode="External"/><Relationship Id="rId38" Type="http://schemas.openxmlformats.org/officeDocument/2006/relationships/hyperlink" Target="https://www.youtube.com/@ArticulatedRobotics/videos" TargetMode="External"/><Relationship Id="rId39" Type="http://schemas.openxmlformats.org/officeDocument/2006/relationships/hyperlink" Target="https://ros2-tutorial.readthedocs.io/en/latest/gazebo/ros_gz_bridge.html" TargetMode="External"/><Relationship Id="rId40" Type="http://schemas.openxmlformats.org/officeDocument/2006/relationships/hyperlink" Target="https://www.youtube.com/@ArticulatedRobotics/videos" TargetMode="External"/><Relationship Id="rId41" Type="http://schemas.openxmlformats.org/officeDocument/2006/relationships/hyperlink" Target="https://articulatedrobotics.xyz/category/build-a-mobile-robot-with-ros" TargetMode="External"/><Relationship Id="rId42" Type="http://schemas.openxmlformats.org/officeDocument/2006/relationships/hyperlink" Target="https://www.youtube.com/@ArticulatedRobotics/videos" TargetMode="External"/><Relationship Id="rId43" Type="http://schemas.openxmlformats.org/officeDocument/2006/relationships/hyperlink" Target="https://control.ros.org/jazzy/index.html" TargetMode="External"/><Relationship Id="rId44" Type="http://schemas.openxmlformats.org/officeDocument/2006/relationships/hyperlink" Target="https://www.youtube.com/@ArticulatedRobotics/videos" TargetMode="External"/><Relationship Id="rId45" Type="http://schemas.openxmlformats.org/officeDocument/2006/relationships/hyperlink" Target="https://control.ros.org/jazzy/index.html" TargetMode="External"/><Relationship Id="rId46" Type="http://schemas.openxmlformats.org/officeDocument/2006/relationships/hyperlink" Target="https://www.youtube.com/@ArticulatedRobotics/videos" TargetMode="External"/><Relationship Id="rId47" Type="http://schemas.openxmlformats.org/officeDocument/2006/relationships/hyperlink" Target="https://automaticaddison.com/tutorials/" TargetMode="External"/><Relationship Id="rId48" Type="http://schemas.openxmlformats.org/officeDocument/2006/relationships/hyperlink" Target="https://www.youtube.com/@ArticulatedRobotics/videos" TargetMode="External"/><Relationship Id="rId49" Type="http://schemas.openxmlformats.org/officeDocument/2006/relationships/hyperlink" Target="https://docs.nav2.org/jazzy/getting_started/" TargetMode="External"/><Relationship Id="rId50" Type="http://schemas.openxmlformats.org/officeDocument/2006/relationships/hyperlink" Target="https://roboticsbackend.com/" TargetMode="External"/><Relationship Id="rId51" Type="http://schemas.openxmlformats.org/officeDocument/2006/relationships/hyperlink" Target="https://docs.nav2.org/jazzy/getting_started/" TargetMode="External"/><Relationship Id="rId52" Type="http://schemas.openxmlformats.org/officeDocument/2006/relationships/hyperlink" Target="https://www.youtube.com/@ArticulatedRobotics/videos" TargetMode="External"/><Relationship Id="rId53" Type="http://schemas.openxmlformats.org/officeDocument/2006/relationships/hyperlink" Target="https://micro.ros.org/docs/tutorials/core/overview" TargetMode="External"/><Relationship Id="rId54" Type="http://schemas.openxmlformats.org/officeDocument/2006/relationships/hyperlink" Target="https://micro.ros.org/docs/tutorials/core/overview" TargetMode="External"/><Relationship Id="rId55" Type="http://schemas.openxmlformats.org/officeDocument/2006/relationships/hyperlink" Target="https://micro.ros.org/docs/tutorials/core/overview" TargetMode="External"/><Relationship Id="rId56" Type="http://schemas.openxmlformats.org/officeDocument/2006/relationships/hyperlink" Target="https://roboticsbackend.com/" TargetMode="External"/><Relationship Id="rId57" Type="http://schemas.openxmlformats.org/officeDocument/2006/relationships/hyperlink" Target="https://automaticaddison.com/tutorials/" TargetMode="External"/><Relationship Id="rId58" Type="http://schemas.openxmlformats.org/officeDocument/2006/relationships/hyperlink" Target="https://www.youtube.com/@ArticulatedRobotics/videos" TargetMode="External"/><Relationship Id="rId59" Type="http://schemas.openxmlformats.org/officeDocument/2006/relationships/hyperlink" Target="https://discourse.openrobotics.org/" TargetMode="External"/><Relationship Id="rId60" Type="http://schemas.openxmlformats.org/officeDocument/2006/relationships/hyperlink" Target="https://robocademy.com/blog/open-sourcing-ros-developer-learning-path-2-0-by-robocademy" TargetMode="External"/><Relationship Id="rId6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ros.org/en/jazzy/Tutorials.html" TargetMode="External"/><Relationship Id="rId2" Type="http://schemas.openxmlformats.org/officeDocument/2006/relationships/hyperlink" Target="https://docs.ros.org/en/jazzy/Installation.html" TargetMode="External"/><Relationship Id="rId3" Type="http://schemas.openxmlformats.org/officeDocument/2006/relationships/hyperlink" Target="https://articulatedrobotics.xyz/category/build-a-mobile-robot-with-ros" TargetMode="External"/><Relationship Id="rId4" Type="http://schemas.openxmlformats.org/officeDocument/2006/relationships/hyperlink" Target="https://www.youtube.com/@ArticulatedRobotics/videos" TargetMode="External"/><Relationship Id="rId5" Type="http://schemas.openxmlformats.org/officeDocument/2006/relationships/hyperlink" Target="https://www.youtube.com/playlist?list=PL8MgID9MCju0GMQDTWzYmfiU3wY_Zdjl5" TargetMode="External"/><Relationship Id="rId6" Type="http://schemas.openxmlformats.org/officeDocument/2006/relationships/hyperlink" Target="https://robocademy.com/blog/open-sourcing-ros-developer-learning-path-2-0-by-robocademy" TargetMode="External"/><Relationship Id="rId7" Type="http://schemas.openxmlformats.org/officeDocument/2006/relationships/hyperlink" Target="https://github.com/gazebosim/ros_gz" TargetMode="External"/><Relationship Id="rId8" Type="http://schemas.openxmlformats.org/officeDocument/2006/relationships/hyperlink" Target="https://gazebosim.org/docs/latest/ros_installation" TargetMode="External"/><Relationship Id="rId9" Type="http://schemas.openxmlformats.org/officeDocument/2006/relationships/hyperlink" Target="https://ros2-tutorial.readthedocs.io/en/latest/gazebo/ros_gz_bridge.html" TargetMode="External"/><Relationship Id="rId10" Type="http://schemas.openxmlformats.org/officeDocument/2006/relationships/hyperlink" Target="https://control.ros.org/jazzy/index.html" TargetMode="External"/><Relationship Id="rId11" Type="http://schemas.openxmlformats.org/officeDocument/2006/relationships/hyperlink" Target="https://docs.nav2.org/jazzy/getting_started/" TargetMode="External"/><Relationship Id="rId12" Type="http://schemas.openxmlformats.org/officeDocument/2006/relationships/hyperlink" Target="https://micro.ros.org/docs/tutorials/core/overview" TargetMode="External"/><Relationship Id="rId13" Type="http://schemas.openxmlformats.org/officeDocument/2006/relationships/hyperlink" Target="https://automaticaddison.com/tutorials/" TargetMode="External"/><Relationship Id="rId14" Type="http://schemas.openxmlformats.org/officeDocument/2006/relationships/hyperlink" Target="https://roboticsbackend.com/" TargetMode="External"/><Relationship Id="rId15" Type="http://schemas.openxmlformats.org/officeDocument/2006/relationships/hyperlink" Target="https://discourse.openrobotics.org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ocs.ros.org/en/jazzy/Tutorials/Intermediate.html" TargetMode="External"/><Relationship Id="rId2" Type="http://schemas.openxmlformats.org/officeDocument/2006/relationships/hyperlink" Target="https://articulatedrobotics.xyz/mobile-robot-13-ros2-control-real/" TargetMode="External"/><Relationship Id="rId3" Type="http://schemas.openxmlformats.org/officeDocument/2006/relationships/hyperlink" Target="https://docs.nav2.org/jazzy/getting_started/" TargetMode="External"/><Relationship Id="rId4" Type="http://schemas.openxmlformats.org/officeDocument/2006/relationships/hyperlink" Target="https://automaticaddison.com/tutorials/" TargetMode="External"/><Relationship Id="rId5" Type="http://schemas.openxmlformats.org/officeDocument/2006/relationships/hyperlink" Target="https://discourse.openrobotics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18"/>
  </cols>
  <sheetData>
    <row r="1" customFormat="false" ht="36" hidden="false" customHeight="true" outlineLevel="0" collapsed="false">
      <c r="A1" s="1" t="s">
        <v>0</v>
      </c>
      <c r="B1" s="1"/>
      <c r="C1" s="1"/>
    </row>
    <row r="3" customFormat="false" ht="21.75" hidden="false" customHeight="true" outlineLevel="0" collapsed="false">
      <c r="A3" s="2" t="s">
        <v>1</v>
      </c>
      <c r="B3" s="2"/>
      <c r="C3" s="2"/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36" hidden="false" customHeight="true" outlineLevel="0" collapsed="false">
      <c r="A6" s="3" t="s">
        <v>6</v>
      </c>
      <c r="B6" s="4" t="s">
        <v>7</v>
      </c>
    </row>
    <row r="8" customFormat="false" ht="21.75" hidden="false" customHeight="true" outlineLevel="0" collapsed="false">
      <c r="A8" s="5" t="s">
        <v>8</v>
      </c>
      <c r="B8" s="5"/>
      <c r="C8" s="5"/>
    </row>
    <row r="9" customFormat="false" ht="15" hidden="false" customHeight="false" outlineLevel="0" collapsed="false">
      <c r="A9" s="3" t="s">
        <v>9</v>
      </c>
      <c r="B9" s="6" t="n">
        <f aca="false">Plan_30_Days!E35</f>
        <v>99</v>
      </c>
    </row>
    <row r="10" customFormat="false" ht="15" hidden="false" customHeight="false" outlineLevel="0" collapsed="false">
      <c r="A10" s="3" t="s">
        <v>10</v>
      </c>
      <c r="B10" s="7" t="n">
        <v>3</v>
      </c>
      <c r="C10" s="8" t="s">
        <v>11</v>
      </c>
    </row>
    <row r="11" customFormat="false" ht="15" hidden="false" customHeight="false" outlineLevel="0" collapsed="false">
      <c r="A11" s="3" t="s">
        <v>12</v>
      </c>
      <c r="B11" s="9" t="n">
        <f aca="false">ROUNDUP(B9/B10,0)</f>
        <v>33</v>
      </c>
    </row>
    <row r="12" customFormat="false" ht="30" hidden="false" customHeight="true" outlineLevel="0" collapsed="false">
      <c r="A12" s="3" t="s">
        <v>13</v>
      </c>
      <c r="B12" s="4" t="s">
        <v>14</v>
      </c>
    </row>
    <row r="14" customFormat="false" ht="21.75" hidden="false" customHeight="true" outlineLevel="0" collapsed="false">
      <c r="A14" s="10" t="s">
        <v>15</v>
      </c>
      <c r="B14" s="10"/>
      <c r="C14" s="10"/>
    </row>
    <row r="15" customFormat="false" ht="15" hidden="false" customHeight="false" outlineLevel="0" collapsed="false">
      <c r="A15" s="3" t="s">
        <v>16</v>
      </c>
      <c r="B15" s="11" t="n">
        <f aca="false">COUNTIF(Plan_30_Days!J5:J34,"Done")</f>
        <v>0</v>
      </c>
    </row>
    <row r="16" customFormat="false" ht="15" hidden="false" customHeight="false" outlineLevel="0" collapsed="false">
      <c r="A16" s="3" t="s">
        <v>17</v>
      </c>
      <c r="B16" s="12" t="n">
        <f aca="false">COUNTIF(Plan_30_Days!J5:J34,"In progress")</f>
        <v>0</v>
      </c>
    </row>
    <row r="17" customFormat="false" ht="15" hidden="false" customHeight="false" outlineLevel="0" collapsed="false">
      <c r="A17" s="3" t="s">
        <v>18</v>
      </c>
      <c r="B17" s="13" t="n">
        <f aca="false">SUMIF(Plan_30_Days!J5:J34,"Done",Plan_30_Days!E5:E34)</f>
        <v>0</v>
      </c>
    </row>
    <row r="18" customFormat="false" ht="15" hidden="false" customHeight="false" outlineLevel="0" collapsed="false">
      <c r="A18" s="3" t="s">
        <v>19</v>
      </c>
      <c r="B18" s="14" t="n">
        <f aca="false">IF(B9=0,0,B17/B9)</f>
        <v>0</v>
      </c>
    </row>
    <row r="20" customFormat="false" ht="21.75" hidden="false" customHeight="true" outlineLevel="0" collapsed="false">
      <c r="A20" s="15" t="s">
        <v>20</v>
      </c>
      <c r="B20" s="15"/>
      <c r="C20" s="15"/>
    </row>
    <row r="21" customFormat="false" ht="21.75" hidden="false" customHeight="true" outlineLevel="0" collapsed="false">
      <c r="A21" s="16" t="s">
        <v>21</v>
      </c>
      <c r="B21" s="17" t="s">
        <v>22</v>
      </c>
    </row>
    <row r="22" customFormat="false" ht="21.75" hidden="false" customHeight="true" outlineLevel="0" collapsed="false">
      <c r="A22" s="18" t="s">
        <v>23</v>
      </c>
      <c r="B22" s="19" t="s">
        <v>24</v>
      </c>
    </row>
    <row r="23" customFormat="false" ht="21.75" hidden="false" customHeight="true" outlineLevel="0" collapsed="false">
      <c r="A23" s="20" t="s">
        <v>25</v>
      </c>
      <c r="B23" s="21" t="s">
        <v>26</v>
      </c>
    </row>
    <row r="24" customFormat="false" ht="21.75" hidden="false" customHeight="true" outlineLevel="0" collapsed="false">
      <c r="A24" s="22" t="s">
        <v>27</v>
      </c>
      <c r="B24" s="23" t="s">
        <v>28</v>
      </c>
    </row>
    <row r="25" customFormat="false" ht="21.75" hidden="false" customHeight="true" outlineLevel="0" collapsed="false">
      <c r="A25" s="24" t="s">
        <v>29</v>
      </c>
      <c r="B25" s="25" t="s">
        <v>30</v>
      </c>
    </row>
    <row r="27" customFormat="false" ht="21.75" hidden="false" customHeight="true" outlineLevel="0" collapsed="false">
      <c r="A27" s="26" t="s">
        <v>31</v>
      </c>
      <c r="B27" s="26"/>
      <c r="C27" s="26"/>
    </row>
    <row r="28" customFormat="false" ht="39.75" hidden="false" customHeight="true" outlineLevel="0" collapsed="false">
      <c r="A28" s="3" t="s">
        <v>32</v>
      </c>
      <c r="B28" s="4" t="s">
        <v>33</v>
      </c>
    </row>
    <row r="29" customFormat="false" ht="24" hidden="false" customHeight="true" outlineLevel="0" collapsed="false">
      <c r="A29" s="3" t="s">
        <v>34</v>
      </c>
      <c r="B29" s="4" t="s">
        <v>35</v>
      </c>
    </row>
    <row r="30" customFormat="false" ht="24" hidden="false" customHeight="true" outlineLevel="0" collapsed="false">
      <c r="A30" s="3" t="s">
        <v>36</v>
      </c>
      <c r="B30" s="4" t="s">
        <v>37</v>
      </c>
    </row>
    <row r="31" customFormat="false" ht="48" hidden="false" customHeight="true" outlineLevel="0" collapsed="false">
      <c r="A31" s="3" t="s">
        <v>38</v>
      </c>
      <c r="B31" s="4" t="s">
        <v>39</v>
      </c>
    </row>
    <row r="32" customFormat="false" ht="36" hidden="false" customHeight="true" outlineLevel="0" collapsed="false">
      <c r="A32" s="3" t="s">
        <v>40</v>
      </c>
      <c r="B32" s="4" t="s">
        <v>41</v>
      </c>
    </row>
  </sheetData>
  <mergeCells count="6">
    <mergeCell ref="A1:C1"/>
    <mergeCell ref="A3:C3"/>
    <mergeCell ref="A8:C8"/>
    <mergeCell ref="A14:C14"/>
    <mergeCell ref="A20:C20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2"/>
    <col collapsed="false" customWidth="true" hidden="false" outlineLevel="0" max="5" min="5" style="0" width="8"/>
    <col collapsed="false" customWidth="true" hidden="false" outlineLevel="0" max="7" min="6" style="0" width="38"/>
    <col collapsed="false" customWidth="true" hidden="false" outlineLevel="0" max="8" min="8" style="0" width="34"/>
    <col collapsed="false" customWidth="true" hidden="false" outlineLevel="0" max="9" min="9" style="0" width="36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27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27.75" hidden="false" customHeight="true" outlineLevel="0" collapsed="false">
      <c r="A2" s="28" t="s">
        <v>43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4" customFormat="false" ht="30" hidden="false" customHeight="true" outlineLevel="0" collapsed="false">
      <c r="A4" s="29" t="s">
        <v>44</v>
      </c>
      <c r="B4" s="29" t="s">
        <v>45</v>
      </c>
      <c r="C4" s="29" t="s">
        <v>46</v>
      </c>
      <c r="D4" s="29" t="s">
        <v>47</v>
      </c>
      <c r="E4" s="29" t="s">
        <v>48</v>
      </c>
      <c r="F4" s="29" t="s">
        <v>49</v>
      </c>
      <c r="G4" s="29" t="s">
        <v>50</v>
      </c>
      <c r="H4" s="29" t="s">
        <v>51</v>
      </c>
      <c r="I4" s="29" t="s">
        <v>52</v>
      </c>
      <c r="J4" s="29" t="s">
        <v>53</v>
      </c>
      <c r="K4" s="29" t="s">
        <v>54</v>
      </c>
    </row>
    <row r="5" customFormat="false" ht="61.5" hidden="false" customHeight="true" outlineLevel="0" collapsed="false">
      <c r="A5" s="30" t="n">
        <v>1</v>
      </c>
      <c r="B5" s="31" t="s">
        <v>55</v>
      </c>
      <c r="C5" s="32" t="s">
        <v>56</v>
      </c>
      <c r="D5" s="33" t="s">
        <v>57</v>
      </c>
      <c r="E5" s="34" t="n">
        <v>3</v>
      </c>
      <c r="F5" s="35" t="s">
        <v>58</v>
      </c>
      <c r="G5" s="35" t="s">
        <v>59</v>
      </c>
      <c r="H5" s="33" t="s">
        <v>60</v>
      </c>
      <c r="I5" s="33" t="s">
        <v>61</v>
      </c>
      <c r="J5" s="36" t="s">
        <v>62</v>
      </c>
      <c r="K5" s="36"/>
    </row>
    <row r="6" customFormat="false" ht="61.5" hidden="false" customHeight="true" outlineLevel="0" collapsed="false">
      <c r="A6" s="30" t="n">
        <v>2</v>
      </c>
      <c r="B6" s="31" t="s">
        <v>55</v>
      </c>
      <c r="C6" s="32" t="s">
        <v>63</v>
      </c>
      <c r="D6" s="33" t="s">
        <v>64</v>
      </c>
      <c r="E6" s="34" t="n">
        <v>3</v>
      </c>
      <c r="F6" s="35" t="s">
        <v>65</v>
      </c>
      <c r="G6" s="35" t="s">
        <v>66</v>
      </c>
      <c r="H6" s="33" t="s">
        <v>67</v>
      </c>
      <c r="I6" s="33" t="s">
        <v>68</v>
      </c>
      <c r="J6" s="36" t="s">
        <v>62</v>
      </c>
      <c r="K6" s="36"/>
    </row>
    <row r="7" customFormat="false" ht="61.5" hidden="false" customHeight="true" outlineLevel="0" collapsed="false">
      <c r="A7" s="30" t="n">
        <v>3</v>
      </c>
      <c r="B7" s="31" t="s">
        <v>55</v>
      </c>
      <c r="C7" s="32" t="s">
        <v>69</v>
      </c>
      <c r="D7" s="33" t="s">
        <v>70</v>
      </c>
      <c r="E7" s="34" t="n">
        <v>3</v>
      </c>
      <c r="F7" s="35" t="s">
        <v>71</v>
      </c>
      <c r="G7" s="35" t="s">
        <v>66</v>
      </c>
      <c r="H7" s="33" t="s">
        <v>72</v>
      </c>
      <c r="I7" s="33" t="s">
        <v>73</v>
      </c>
      <c r="J7" s="36" t="s">
        <v>62</v>
      </c>
      <c r="K7" s="36"/>
    </row>
    <row r="8" customFormat="false" ht="61.5" hidden="false" customHeight="true" outlineLevel="0" collapsed="false">
      <c r="A8" s="30" t="n">
        <v>4</v>
      </c>
      <c r="B8" s="31" t="s">
        <v>55</v>
      </c>
      <c r="C8" s="32" t="s">
        <v>74</v>
      </c>
      <c r="D8" s="33" t="s">
        <v>75</v>
      </c>
      <c r="E8" s="34" t="n">
        <v>3</v>
      </c>
      <c r="F8" s="35" t="s">
        <v>65</v>
      </c>
      <c r="G8" s="35" t="s">
        <v>59</v>
      </c>
      <c r="H8" s="33" t="s">
        <v>76</v>
      </c>
      <c r="I8" s="33" t="s">
        <v>77</v>
      </c>
      <c r="J8" s="36" t="s">
        <v>62</v>
      </c>
      <c r="K8" s="36"/>
    </row>
    <row r="9" customFormat="false" ht="61.5" hidden="false" customHeight="true" outlineLevel="0" collapsed="false">
      <c r="A9" s="30" t="n">
        <v>5</v>
      </c>
      <c r="B9" s="31" t="s">
        <v>55</v>
      </c>
      <c r="C9" s="32" t="s">
        <v>78</v>
      </c>
      <c r="D9" s="33" t="s">
        <v>79</v>
      </c>
      <c r="E9" s="34" t="n">
        <v>3</v>
      </c>
      <c r="F9" s="35" t="s">
        <v>65</v>
      </c>
      <c r="G9" s="35" t="s">
        <v>80</v>
      </c>
      <c r="H9" s="33" t="s">
        <v>81</v>
      </c>
      <c r="I9" s="33" t="s">
        <v>82</v>
      </c>
      <c r="J9" s="36" t="s">
        <v>62</v>
      </c>
      <c r="K9" s="36"/>
    </row>
    <row r="10" customFormat="false" ht="61.5" hidden="false" customHeight="true" outlineLevel="0" collapsed="false">
      <c r="A10" s="30" t="n">
        <v>6</v>
      </c>
      <c r="B10" s="31" t="s">
        <v>55</v>
      </c>
      <c r="C10" s="32" t="s">
        <v>83</v>
      </c>
      <c r="D10" s="33" t="s">
        <v>84</v>
      </c>
      <c r="E10" s="34" t="n">
        <v>3</v>
      </c>
      <c r="F10" s="35" t="s">
        <v>65</v>
      </c>
      <c r="G10" s="35" t="s">
        <v>66</v>
      </c>
      <c r="H10" s="33" t="s">
        <v>85</v>
      </c>
      <c r="I10" s="33" t="s">
        <v>86</v>
      </c>
      <c r="J10" s="36" t="s">
        <v>62</v>
      </c>
      <c r="K10" s="36"/>
    </row>
    <row r="11" customFormat="false" ht="61.5" hidden="false" customHeight="true" outlineLevel="0" collapsed="false">
      <c r="A11" s="30" t="n">
        <v>7</v>
      </c>
      <c r="B11" s="31" t="s">
        <v>55</v>
      </c>
      <c r="C11" s="32" t="s">
        <v>87</v>
      </c>
      <c r="D11" s="33" t="s">
        <v>88</v>
      </c>
      <c r="E11" s="34" t="n">
        <v>4</v>
      </c>
      <c r="F11" s="35" t="s">
        <v>65</v>
      </c>
      <c r="G11" s="35" t="s">
        <v>80</v>
      </c>
      <c r="H11" s="33" t="s">
        <v>89</v>
      </c>
      <c r="I11" s="33" t="s">
        <v>90</v>
      </c>
      <c r="J11" s="36" t="s">
        <v>62</v>
      </c>
      <c r="K11" s="36"/>
    </row>
    <row r="12" customFormat="false" ht="61.5" hidden="false" customHeight="true" outlineLevel="0" collapsed="false">
      <c r="A12" s="37" t="n">
        <v>8</v>
      </c>
      <c r="B12" s="38" t="s">
        <v>91</v>
      </c>
      <c r="C12" s="39" t="s">
        <v>92</v>
      </c>
      <c r="D12" s="40" t="s">
        <v>93</v>
      </c>
      <c r="E12" s="41" t="n">
        <v>3</v>
      </c>
      <c r="F12" s="42" t="s">
        <v>94</v>
      </c>
      <c r="G12" s="42" t="s">
        <v>66</v>
      </c>
      <c r="H12" s="40" t="s">
        <v>95</v>
      </c>
      <c r="I12" s="40" t="s">
        <v>96</v>
      </c>
      <c r="J12" s="43" t="s">
        <v>62</v>
      </c>
      <c r="K12" s="43"/>
    </row>
    <row r="13" customFormat="false" ht="61.5" hidden="false" customHeight="true" outlineLevel="0" collapsed="false">
      <c r="A13" s="37" t="n">
        <v>9</v>
      </c>
      <c r="B13" s="38" t="s">
        <v>91</v>
      </c>
      <c r="C13" s="39" t="s">
        <v>97</v>
      </c>
      <c r="D13" s="40" t="s">
        <v>98</v>
      </c>
      <c r="E13" s="41" t="n">
        <v>3</v>
      </c>
      <c r="F13" s="42" t="s">
        <v>99</v>
      </c>
      <c r="G13" s="42" t="s">
        <v>66</v>
      </c>
      <c r="H13" s="40" t="s">
        <v>100</v>
      </c>
      <c r="I13" s="40" t="s">
        <v>101</v>
      </c>
      <c r="J13" s="43" t="s">
        <v>62</v>
      </c>
      <c r="K13" s="43"/>
    </row>
    <row r="14" customFormat="false" ht="61.5" hidden="false" customHeight="true" outlineLevel="0" collapsed="false">
      <c r="A14" s="37" t="n">
        <v>10</v>
      </c>
      <c r="B14" s="38" t="s">
        <v>91</v>
      </c>
      <c r="C14" s="39" t="s">
        <v>102</v>
      </c>
      <c r="D14" s="40" t="s">
        <v>103</v>
      </c>
      <c r="E14" s="41" t="n">
        <v>3</v>
      </c>
      <c r="F14" s="42" t="s">
        <v>104</v>
      </c>
      <c r="G14" s="42" t="s">
        <v>80</v>
      </c>
      <c r="H14" s="40" t="s">
        <v>105</v>
      </c>
      <c r="I14" s="40" t="s">
        <v>106</v>
      </c>
      <c r="J14" s="43" t="s">
        <v>62</v>
      </c>
      <c r="K14" s="43"/>
    </row>
    <row r="15" customFormat="false" ht="61.5" hidden="false" customHeight="true" outlineLevel="0" collapsed="false">
      <c r="A15" s="37" t="n">
        <v>11</v>
      </c>
      <c r="B15" s="38" t="s">
        <v>91</v>
      </c>
      <c r="C15" s="39" t="s">
        <v>107</v>
      </c>
      <c r="D15" s="40" t="s">
        <v>108</v>
      </c>
      <c r="E15" s="41" t="n">
        <v>3</v>
      </c>
      <c r="F15" s="42" t="s">
        <v>104</v>
      </c>
      <c r="G15" s="42" t="s">
        <v>59</v>
      </c>
      <c r="H15" s="40" t="s">
        <v>109</v>
      </c>
      <c r="I15" s="40" t="s">
        <v>110</v>
      </c>
      <c r="J15" s="43" t="s">
        <v>62</v>
      </c>
      <c r="K15" s="43"/>
    </row>
    <row r="16" customFormat="false" ht="61.5" hidden="false" customHeight="true" outlineLevel="0" collapsed="false">
      <c r="A16" s="37" t="n">
        <v>12</v>
      </c>
      <c r="B16" s="38" t="s">
        <v>91</v>
      </c>
      <c r="C16" s="39" t="s">
        <v>111</v>
      </c>
      <c r="D16" s="40" t="s">
        <v>112</v>
      </c>
      <c r="E16" s="41" t="n">
        <v>3</v>
      </c>
      <c r="F16" s="42" t="s">
        <v>104</v>
      </c>
      <c r="G16" s="42" t="s">
        <v>59</v>
      </c>
      <c r="H16" s="40" t="s">
        <v>113</v>
      </c>
      <c r="I16" s="40" t="s">
        <v>114</v>
      </c>
      <c r="J16" s="43" t="s">
        <v>62</v>
      </c>
      <c r="K16" s="43"/>
    </row>
    <row r="17" customFormat="false" ht="61.5" hidden="false" customHeight="true" outlineLevel="0" collapsed="false">
      <c r="A17" s="37" t="n">
        <v>13</v>
      </c>
      <c r="B17" s="38" t="s">
        <v>91</v>
      </c>
      <c r="C17" s="39" t="s">
        <v>115</v>
      </c>
      <c r="D17" s="40" t="s">
        <v>116</v>
      </c>
      <c r="E17" s="41" t="n">
        <v>3</v>
      </c>
      <c r="F17" s="42" t="s">
        <v>104</v>
      </c>
      <c r="G17" s="42" t="s">
        <v>117</v>
      </c>
      <c r="H17" s="40" t="s">
        <v>118</v>
      </c>
      <c r="I17" s="40" t="s">
        <v>119</v>
      </c>
      <c r="J17" s="43" t="s">
        <v>62</v>
      </c>
      <c r="K17" s="43"/>
    </row>
    <row r="18" customFormat="false" ht="61.5" hidden="false" customHeight="true" outlineLevel="0" collapsed="false">
      <c r="A18" s="37" t="n">
        <v>14</v>
      </c>
      <c r="B18" s="38" t="s">
        <v>91</v>
      </c>
      <c r="C18" s="39" t="s">
        <v>120</v>
      </c>
      <c r="D18" s="40" t="s">
        <v>121</v>
      </c>
      <c r="E18" s="41" t="n">
        <v>4</v>
      </c>
      <c r="F18" s="42" t="s">
        <v>104</v>
      </c>
      <c r="G18" s="42" t="s">
        <v>80</v>
      </c>
      <c r="H18" s="40" t="s">
        <v>122</v>
      </c>
      <c r="I18" s="40" t="s">
        <v>123</v>
      </c>
      <c r="J18" s="43" t="s">
        <v>62</v>
      </c>
      <c r="K18" s="43"/>
    </row>
    <row r="19" customFormat="false" ht="61.5" hidden="false" customHeight="true" outlineLevel="0" collapsed="false">
      <c r="A19" s="44" t="n">
        <v>15</v>
      </c>
      <c r="B19" s="45" t="s">
        <v>124</v>
      </c>
      <c r="C19" s="46" t="s">
        <v>125</v>
      </c>
      <c r="D19" s="47" t="s">
        <v>126</v>
      </c>
      <c r="E19" s="48" t="n">
        <v>3</v>
      </c>
      <c r="F19" s="49" t="s">
        <v>65</v>
      </c>
      <c r="G19" s="49" t="s">
        <v>66</v>
      </c>
      <c r="H19" s="47" t="s">
        <v>127</v>
      </c>
      <c r="I19" s="47" t="s">
        <v>128</v>
      </c>
      <c r="J19" s="50" t="s">
        <v>62</v>
      </c>
      <c r="K19" s="50"/>
    </row>
    <row r="20" customFormat="false" ht="61.5" hidden="false" customHeight="true" outlineLevel="0" collapsed="false">
      <c r="A20" s="44" t="n">
        <v>16</v>
      </c>
      <c r="B20" s="45" t="s">
        <v>124</v>
      </c>
      <c r="C20" s="46" t="s">
        <v>129</v>
      </c>
      <c r="D20" s="47" t="s">
        <v>130</v>
      </c>
      <c r="E20" s="48" t="n">
        <v>3</v>
      </c>
      <c r="F20" s="49" t="s">
        <v>131</v>
      </c>
      <c r="G20" s="49" t="s">
        <v>80</v>
      </c>
      <c r="H20" s="47" t="s">
        <v>132</v>
      </c>
      <c r="I20" s="47" t="s">
        <v>133</v>
      </c>
      <c r="J20" s="50" t="s">
        <v>62</v>
      </c>
      <c r="K20" s="50"/>
    </row>
    <row r="21" customFormat="false" ht="61.5" hidden="false" customHeight="true" outlineLevel="0" collapsed="false">
      <c r="A21" s="44" t="n">
        <v>17</v>
      </c>
      <c r="B21" s="45" t="s">
        <v>124</v>
      </c>
      <c r="C21" s="46" t="s">
        <v>134</v>
      </c>
      <c r="D21" s="47" t="s">
        <v>135</v>
      </c>
      <c r="E21" s="48" t="n">
        <v>3</v>
      </c>
      <c r="F21" s="49" t="s">
        <v>136</v>
      </c>
      <c r="G21" s="49" t="s">
        <v>80</v>
      </c>
      <c r="H21" s="47" t="s">
        <v>137</v>
      </c>
      <c r="I21" s="47" t="s">
        <v>138</v>
      </c>
      <c r="J21" s="50" t="s">
        <v>62</v>
      </c>
      <c r="K21" s="50"/>
    </row>
    <row r="22" customFormat="false" ht="61.5" hidden="false" customHeight="true" outlineLevel="0" collapsed="false">
      <c r="A22" s="44" t="n">
        <v>18</v>
      </c>
      <c r="B22" s="45" t="s">
        <v>124</v>
      </c>
      <c r="C22" s="46" t="s">
        <v>139</v>
      </c>
      <c r="D22" s="47" t="s">
        <v>140</v>
      </c>
      <c r="E22" s="48" t="n">
        <v>3</v>
      </c>
      <c r="F22" s="49" t="s">
        <v>141</v>
      </c>
      <c r="G22" s="49" t="s">
        <v>142</v>
      </c>
      <c r="H22" s="47" t="s">
        <v>143</v>
      </c>
      <c r="I22" s="47" t="s">
        <v>144</v>
      </c>
      <c r="J22" s="50" t="s">
        <v>62</v>
      </c>
      <c r="K22" s="50"/>
    </row>
    <row r="23" customFormat="false" ht="61.5" hidden="false" customHeight="true" outlineLevel="0" collapsed="false">
      <c r="A23" s="44" t="n">
        <v>19</v>
      </c>
      <c r="B23" s="45" t="s">
        <v>124</v>
      </c>
      <c r="C23" s="46" t="s">
        <v>145</v>
      </c>
      <c r="D23" s="47" t="s">
        <v>146</v>
      </c>
      <c r="E23" s="48" t="n">
        <v>4</v>
      </c>
      <c r="F23" s="49" t="s">
        <v>147</v>
      </c>
      <c r="G23" s="49" t="s">
        <v>80</v>
      </c>
      <c r="H23" s="47" t="s">
        <v>148</v>
      </c>
      <c r="I23" s="47" t="s">
        <v>149</v>
      </c>
      <c r="J23" s="50" t="s">
        <v>62</v>
      </c>
      <c r="K23" s="50"/>
    </row>
    <row r="24" customFormat="false" ht="61.5" hidden="false" customHeight="true" outlineLevel="0" collapsed="false">
      <c r="A24" s="44" t="n">
        <v>20</v>
      </c>
      <c r="B24" s="45" t="s">
        <v>124</v>
      </c>
      <c r="C24" s="46" t="s">
        <v>150</v>
      </c>
      <c r="D24" s="47" t="s">
        <v>151</v>
      </c>
      <c r="E24" s="48" t="n">
        <v>3</v>
      </c>
      <c r="F24" s="49" t="s">
        <v>147</v>
      </c>
      <c r="G24" s="49" t="s">
        <v>80</v>
      </c>
      <c r="H24" s="47" t="s">
        <v>152</v>
      </c>
      <c r="I24" s="47" t="s">
        <v>153</v>
      </c>
      <c r="J24" s="50" t="s">
        <v>62</v>
      </c>
      <c r="K24" s="50"/>
    </row>
    <row r="25" customFormat="false" ht="61.5" hidden="false" customHeight="true" outlineLevel="0" collapsed="false">
      <c r="A25" s="44" t="n">
        <v>21</v>
      </c>
      <c r="B25" s="45" t="s">
        <v>124</v>
      </c>
      <c r="C25" s="46" t="s">
        <v>154</v>
      </c>
      <c r="D25" s="47" t="s">
        <v>155</v>
      </c>
      <c r="E25" s="48" t="n">
        <v>4</v>
      </c>
      <c r="F25" s="49" t="s">
        <v>136</v>
      </c>
      <c r="G25" s="49" t="s">
        <v>80</v>
      </c>
      <c r="H25" s="47" t="s">
        <v>156</v>
      </c>
      <c r="I25" s="47" t="s">
        <v>157</v>
      </c>
      <c r="J25" s="50" t="s">
        <v>62</v>
      </c>
      <c r="K25" s="50"/>
    </row>
    <row r="26" customFormat="false" ht="61.5" hidden="false" customHeight="true" outlineLevel="0" collapsed="false">
      <c r="A26" s="51" t="n">
        <v>22</v>
      </c>
      <c r="B26" s="52" t="s">
        <v>158</v>
      </c>
      <c r="C26" s="53" t="s">
        <v>159</v>
      </c>
      <c r="D26" s="54" t="s">
        <v>160</v>
      </c>
      <c r="E26" s="55" t="n">
        <v>3</v>
      </c>
      <c r="F26" s="56" t="s">
        <v>161</v>
      </c>
      <c r="G26" s="56" t="s">
        <v>80</v>
      </c>
      <c r="H26" s="54" t="s">
        <v>162</v>
      </c>
      <c r="I26" s="54" t="s">
        <v>163</v>
      </c>
      <c r="J26" s="57" t="s">
        <v>62</v>
      </c>
      <c r="K26" s="57"/>
    </row>
    <row r="27" customFormat="false" ht="61.5" hidden="false" customHeight="true" outlineLevel="0" collapsed="false">
      <c r="A27" s="51" t="n">
        <v>23</v>
      </c>
      <c r="B27" s="52" t="s">
        <v>158</v>
      </c>
      <c r="C27" s="53" t="s">
        <v>164</v>
      </c>
      <c r="D27" s="54" t="s">
        <v>165</v>
      </c>
      <c r="E27" s="55" t="n">
        <v>4</v>
      </c>
      <c r="F27" s="56" t="s">
        <v>161</v>
      </c>
      <c r="G27" s="56" t="s">
        <v>80</v>
      </c>
      <c r="H27" s="54" t="s">
        <v>166</v>
      </c>
      <c r="I27" s="54" t="s">
        <v>167</v>
      </c>
      <c r="J27" s="57" t="s">
        <v>62</v>
      </c>
      <c r="K27" s="57"/>
    </row>
    <row r="28" customFormat="false" ht="61.5" hidden="false" customHeight="true" outlineLevel="0" collapsed="false">
      <c r="A28" s="51" t="n">
        <v>24</v>
      </c>
      <c r="B28" s="52" t="s">
        <v>158</v>
      </c>
      <c r="C28" s="53" t="s">
        <v>168</v>
      </c>
      <c r="D28" s="54" t="s">
        <v>169</v>
      </c>
      <c r="E28" s="55" t="n">
        <v>3</v>
      </c>
      <c r="F28" s="56" t="s">
        <v>170</v>
      </c>
      <c r="G28" s="56" t="s">
        <v>80</v>
      </c>
      <c r="H28" s="54" t="s">
        <v>171</v>
      </c>
      <c r="I28" s="54" t="s">
        <v>172</v>
      </c>
      <c r="J28" s="57" t="s">
        <v>62</v>
      </c>
      <c r="K28" s="57"/>
    </row>
    <row r="29" customFormat="false" ht="61.5" hidden="false" customHeight="true" outlineLevel="0" collapsed="false">
      <c r="A29" s="51" t="n">
        <v>25</v>
      </c>
      <c r="B29" s="52" t="s">
        <v>158</v>
      </c>
      <c r="C29" s="53" t="s">
        <v>173</v>
      </c>
      <c r="D29" s="54" t="s">
        <v>174</v>
      </c>
      <c r="E29" s="55" t="n">
        <v>3</v>
      </c>
      <c r="F29" s="56" t="s">
        <v>175</v>
      </c>
      <c r="G29" s="56" t="s">
        <v>117</v>
      </c>
      <c r="H29" s="54" t="s">
        <v>176</v>
      </c>
      <c r="I29" s="54" t="s">
        <v>177</v>
      </c>
      <c r="J29" s="57" t="s">
        <v>62</v>
      </c>
      <c r="K29" s="57"/>
    </row>
    <row r="30" customFormat="false" ht="61.5" hidden="false" customHeight="true" outlineLevel="0" collapsed="false">
      <c r="A30" s="51" t="n">
        <v>26</v>
      </c>
      <c r="B30" s="52" t="s">
        <v>158</v>
      </c>
      <c r="C30" s="53" t="s">
        <v>178</v>
      </c>
      <c r="D30" s="54" t="s">
        <v>179</v>
      </c>
      <c r="E30" s="55" t="n">
        <v>4</v>
      </c>
      <c r="F30" s="56" t="s">
        <v>175</v>
      </c>
      <c r="G30" s="56" t="s">
        <v>80</v>
      </c>
      <c r="H30" s="54" t="s">
        <v>180</v>
      </c>
      <c r="I30" s="54" t="s">
        <v>181</v>
      </c>
      <c r="J30" s="57" t="s">
        <v>62</v>
      </c>
      <c r="K30" s="57"/>
    </row>
    <row r="31" customFormat="false" ht="61.5" hidden="false" customHeight="true" outlineLevel="0" collapsed="false">
      <c r="A31" s="51" t="n">
        <v>27</v>
      </c>
      <c r="B31" s="52" t="s">
        <v>158</v>
      </c>
      <c r="C31" s="53" t="s">
        <v>182</v>
      </c>
      <c r="D31" s="54" t="s">
        <v>183</v>
      </c>
      <c r="E31" s="55" t="n">
        <v>3</v>
      </c>
      <c r="F31" s="56" t="s">
        <v>184</v>
      </c>
      <c r="G31" s="56" t="s">
        <v>184</v>
      </c>
      <c r="H31" s="54" t="s">
        <v>185</v>
      </c>
      <c r="I31" s="54" t="s">
        <v>186</v>
      </c>
      <c r="J31" s="57" t="s">
        <v>62</v>
      </c>
      <c r="K31" s="57"/>
    </row>
    <row r="32" customFormat="false" ht="61.5" hidden="false" customHeight="true" outlineLevel="0" collapsed="false">
      <c r="A32" s="51" t="n">
        <v>28</v>
      </c>
      <c r="B32" s="52" t="s">
        <v>158</v>
      </c>
      <c r="C32" s="53" t="s">
        <v>187</v>
      </c>
      <c r="D32" s="54" t="s">
        <v>188</v>
      </c>
      <c r="E32" s="55" t="n">
        <v>4</v>
      </c>
      <c r="F32" s="56" t="s">
        <v>184</v>
      </c>
      <c r="G32" s="56" t="s">
        <v>117</v>
      </c>
      <c r="H32" s="54" t="s">
        <v>189</v>
      </c>
      <c r="I32" s="54" t="s">
        <v>190</v>
      </c>
      <c r="J32" s="57" t="s">
        <v>62</v>
      </c>
      <c r="K32" s="57"/>
    </row>
    <row r="33" customFormat="false" ht="61.5" hidden="false" customHeight="true" outlineLevel="0" collapsed="false">
      <c r="A33" s="58" t="n">
        <v>29</v>
      </c>
      <c r="B33" s="59" t="s">
        <v>191</v>
      </c>
      <c r="C33" s="60" t="s">
        <v>192</v>
      </c>
      <c r="D33" s="61" t="s">
        <v>193</v>
      </c>
      <c r="E33" s="62" t="n">
        <v>4</v>
      </c>
      <c r="F33" s="63" t="s">
        <v>170</v>
      </c>
      <c r="G33" s="63" t="s">
        <v>80</v>
      </c>
      <c r="H33" s="61" t="s">
        <v>194</v>
      </c>
      <c r="I33" s="61" t="s">
        <v>195</v>
      </c>
      <c r="J33" s="64" t="s">
        <v>62</v>
      </c>
      <c r="K33" s="64"/>
    </row>
    <row r="34" customFormat="false" ht="61.5" hidden="false" customHeight="true" outlineLevel="0" collapsed="false">
      <c r="A34" s="58" t="n">
        <v>30</v>
      </c>
      <c r="B34" s="59" t="s">
        <v>191</v>
      </c>
      <c r="C34" s="60" t="s">
        <v>196</v>
      </c>
      <c r="D34" s="61" t="s">
        <v>197</v>
      </c>
      <c r="E34" s="62" t="n">
        <v>4</v>
      </c>
      <c r="F34" s="63" t="s">
        <v>198</v>
      </c>
      <c r="G34" s="63" t="s">
        <v>59</v>
      </c>
      <c r="H34" s="61" t="s">
        <v>199</v>
      </c>
      <c r="I34" s="61" t="s">
        <v>200</v>
      </c>
      <c r="J34" s="64" t="s">
        <v>62</v>
      </c>
      <c r="K34" s="64"/>
    </row>
    <row r="35" customFormat="false" ht="15" hidden="false" customHeight="false" outlineLevel="0" collapsed="false">
      <c r="A35" s="65"/>
      <c r="B35" s="65"/>
      <c r="C35" s="65"/>
      <c r="D35" s="66" t="s">
        <v>201</v>
      </c>
      <c r="E35" s="67" t="n">
        <f aca="false">SUM(E5:E34)</f>
        <v>99</v>
      </c>
      <c r="F35" s="65"/>
      <c r="G35" s="65"/>
      <c r="H35" s="65"/>
      <c r="I35" s="65"/>
      <c r="J35" s="65"/>
      <c r="K35" s="65"/>
    </row>
  </sheetData>
  <autoFilter ref="A4:K34"/>
  <mergeCells count="2">
    <mergeCell ref="A1:K1"/>
    <mergeCell ref="A2:K2"/>
  </mergeCells>
  <conditionalFormatting sqref="J5:J34">
    <cfRule type="cellIs" priority="2" operator="equal" aboveAverage="0" equalAverage="0" bottom="0" percent="0" rank="0" text="" dxfId="15">
      <formula>"Done"</formula>
    </cfRule>
    <cfRule type="cellIs" priority="3" operator="equal" aboveAverage="0" equalAverage="0" bottom="0" percent="0" rank="0" text="" dxfId="16">
      <formula>"In progress"</formula>
    </cfRule>
  </conditionalFormatting>
  <dataValidations count="1">
    <dataValidation allowBlank="false" errorStyle="stop" operator="between" showDropDown="false" showErrorMessage="false" showInputMessage="false" sqref="J5:J34" type="list">
      <formula1>"Not started,In progress,Done"</formula1>
      <formula2>0</formula2>
    </dataValidation>
  </dataValidations>
  <hyperlinks>
    <hyperlink ref="F5" r:id="rId1" display="https://docs.ros.org/en/jazzy/Installation.html"/>
    <hyperlink ref="G5" r:id="rId2" display="https://robocademy.com/blog/open-sourcing-ros-developer-learning-path-2-0-by-robocademy"/>
    <hyperlink ref="F6" r:id="rId3" display="https://docs.ros.org/en/jazzy/Tutorials.html"/>
    <hyperlink ref="G6" r:id="rId4" display="https://www.youtube.com/playlist?list=PL8MgID9MCju0GMQDTWzYmfiU3wY_Zdjl5"/>
    <hyperlink ref="F7" r:id="rId5" display="https://docs.ros.org/en/jazzy/Tutorials/Services/Understanding-ROS2-Services.html"/>
    <hyperlink ref="G7" r:id="rId6" display="https://www.youtube.com/playlist?list=PL8MgID9MCju0GMQDTWzYmfiU3wY_Zdjl5"/>
    <hyperlink ref="F8" r:id="rId7" display="https://docs.ros.org/en/jazzy/Tutorials.html"/>
    <hyperlink ref="G8" r:id="rId8" display="https://robocademy.com/blog/open-sourcing-ros-developer-learning-path-2-0-by-robocademy"/>
    <hyperlink ref="F9" r:id="rId9" display="https://docs.ros.org/en/jazzy/Tutorials.html"/>
    <hyperlink ref="G9" r:id="rId10" display="https://www.youtube.com/@ArticulatedRobotics/videos"/>
    <hyperlink ref="F10" r:id="rId11" display="https://docs.ros.org/en/jazzy/Tutorials.html"/>
    <hyperlink ref="G10" r:id="rId12" display="https://www.youtube.com/playlist?list=PL8MgID9MCju0GMQDTWzYmfiU3wY_Zdjl5"/>
    <hyperlink ref="F11" r:id="rId13" display="https://docs.ros.org/en/jazzy/Tutorials.html"/>
    <hyperlink ref="G11" r:id="rId14" display="https://www.youtube.com/@ArticulatedRobotics/videos"/>
    <hyperlink ref="F12" r:id="rId15" display="https://docs.ros.org/en/jazzy/Tutorials/Writing-A-Simple-Cpp-Publisher-And-Subscriber.html"/>
    <hyperlink ref="G12" r:id="rId16" display="https://www.youtube.com/playlist?list=PL8MgID9MCju0GMQDTWzYmfiU3wY_Zdjl5"/>
    <hyperlink ref="F13" r:id="rId17" display="https://docs.ros.org/en/jazzy/Tutorials/Writing-A-Simple-Cpp-Service-And-Client.html"/>
    <hyperlink ref="G13" r:id="rId18" display="https://www.youtube.com/playlist?list=PL8MgID9MCju0GMQDTWzYmfiU3wY_Zdjl5"/>
    <hyperlink ref="F14" r:id="rId19" display="https://docs.ros.org/en/jazzy/Tutorials/Intermediate.html"/>
    <hyperlink ref="G14" r:id="rId20" display="https://www.youtube.com/@ArticulatedRobotics/videos"/>
    <hyperlink ref="F15" r:id="rId21" display="https://docs.ros.org/en/jazzy/Tutorials/Intermediate.html"/>
    <hyperlink ref="G15" r:id="rId22" display="https://robocademy.com/blog/open-sourcing-ros-developer-learning-path-2-0-by-robocademy"/>
    <hyperlink ref="F16" r:id="rId23" display="https://docs.ros.org/en/jazzy/Tutorials/Intermediate.html"/>
    <hyperlink ref="G16" r:id="rId24" display="https://robocademy.com/blog/open-sourcing-ros-developer-learning-path-2-0-by-robocademy"/>
    <hyperlink ref="F17" r:id="rId25" display="https://docs.ros.org/en/jazzy/Tutorials/Intermediate.html"/>
    <hyperlink ref="G17" r:id="rId26" display="https://roboticsbackend.com"/>
    <hyperlink ref="F18" r:id="rId27" display="https://docs.ros.org/en/jazzy/Tutorials/Intermediate.html"/>
    <hyperlink ref="G18" r:id="rId28" display="https://www.youtube.com/@ArticulatedRobotics/videos"/>
    <hyperlink ref="F19" r:id="rId29" display="https://docs.ros.org/en/jazzy/Tutorials.html"/>
    <hyperlink ref="G19" r:id="rId30" display="https://www.youtube.com/playlist?list=PL8MgID9MCju0GMQDTWzYmfiU3wY_Zdjl5"/>
    <hyperlink ref="F20" r:id="rId31" display="https://articulatedrobotics.xyz/mobile-robot-1-project-overview/"/>
    <hyperlink ref="G20" r:id="rId32" display="https://www.youtube.com/@ArticulatedRobotics/videos"/>
    <hyperlink ref="F21" r:id="rId33" display="https://articulatedrobotics.xyz/category/build-a-mobile-robot-with-ros"/>
    <hyperlink ref="G21" r:id="rId34" display="https://www.youtube.com/@ArticulatedRobotics/videos"/>
    <hyperlink ref="F22" r:id="rId35" display="https://gazebosim.org/docs/latest/ros_installation"/>
    <hyperlink ref="G22" r:id="rId36" display="https://github.com/gazebosim/ros_gz"/>
    <hyperlink ref="F23" r:id="rId37" display="https://ros2-tutorial.readthedocs.io/en/latest/gazebo/ros_gz_bridge.html"/>
    <hyperlink ref="G23" r:id="rId38" display="https://www.youtube.com/@ArticulatedRobotics/videos"/>
    <hyperlink ref="F24" r:id="rId39" display="https://ros2-tutorial.readthedocs.io/en/latest/gazebo/ros_gz_bridge.html"/>
    <hyperlink ref="G24" r:id="rId40" display="https://www.youtube.com/@ArticulatedRobotics/videos"/>
    <hyperlink ref="F25" r:id="rId41" display="https://articulatedrobotics.xyz/category/build-a-mobile-robot-with-ros"/>
    <hyperlink ref="G25" r:id="rId42" display="https://www.youtube.com/@ArticulatedRobotics/videos"/>
    <hyperlink ref="F26" r:id="rId43" display="https://control.ros.org/jazzy/index.html"/>
    <hyperlink ref="G26" r:id="rId44" display="https://www.youtube.com/@ArticulatedRobotics/videos"/>
    <hyperlink ref="F27" r:id="rId45" display="https://control.ros.org/jazzy/index.html"/>
    <hyperlink ref="G27" r:id="rId46" display="https://www.youtube.com/@ArticulatedRobotics/videos"/>
    <hyperlink ref="F28" r:id="rId47" display="https://automaticaddison.com/tutorials/"/>
    <hyperlink ref="G28" r:id="rId48" display="https://www.youtube.com/@ArticulatedRobotics/videos"/>
    <hyperlink ref="F29" r:id="rId49" display="https://docs.nav2.org/jazzy/getting_started/"/>
    <hyperlink ref="G29" r:id="rId50" display="https://roboticsbackend.com"/>
    <hyperlink ref="F30" r:id="rId51" display="https://docs.nav2.org/jazzy/getting_started/"/>
    <hyperlink ref="G30" r:id="rId52" display="https://www.youtube.com/@ArticulatedRobotics/videos"/>
    <hyperlink ref="F31" r:id="rId53" display="https://micro.ros.org/docs/tutorials/core/overview"/>
    <hyperlink ref="G31" r:id="rId54" display="https://micro.ros.org/docs/tutorials/core/overview"/>
    <hyperlink ref="F32" r:id="rId55" display="https://micro.ros.org/docs/tutorials/core/overview"/>
    <hyperlink ref="G32" r:id="rId56" display="https://roboticsbackend.com"/>
    <hyperlink ref="F33" r:id="rId57" display="https://automaticaddison.com/tutorials/"/>
    <hyperlink ref="G33" r:id="rId58" display="https://www.youtube.com/@ArticulatedRobotics/videos"/>
    <hyperlink ref="F34" r:id="rId59" display="https://discourse.openrobotics.org"/>
    <hyperlink ref="G34" r:id="rId60" display="https://robocademy.com/blog/open-sourcing-ros-developer-learning-path-2-0-by-robocadem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70"/>
    <col collapsed="false" customWidth="true" hidden="false" outlineLevel="0" max="5" min="5" style="0" width="12"/>
  </cols>
  <sheetData>
    <row r="1" customFormat="false" ht="30" hidden="false" customHeight="true" outlineLevel="0" collapsed="false">
      <c r="A1" s="27" t="s">
        <v>202</v>
      </c>
      <c r="B1" s="27"/>
      <c r="C1" s="27"/>
      <c r="D1" s="27"/>
      <c r="E1" s="27"/>
    </row>
    <row r="3" customFormat="false" ht="15" hidden="false" customHeight="false" outlineLevel="0" collapsed="false">
      <c r="A3" s="68" t="s">
        <v>203</v>
      </c>
      <c r="B3" s="68" t="s">
        <v>204</v>
      </c>
      <c r="C3" s="68" t="s">
        <v>205</v>
      </c>
      <c r="D3" s="68" t="s">
        <v>206</v>
      </c>
      <c r="E3" s="68" t="s">
        <v>207</v>
      </c>
    </row>
    <row r="4" customFormat="false" ht="33.75" hidden="false" customHeight="true" outlineLevel="0" collapsed="false">
      <c r="A4" s="69" t="s">
        <v>208</v>
      </c>
      <c r="B4" s="4" t="s">
        <v>209</v>
      </c>
      <c r="C4" s="4" t="s">
        <v>210</v>
      </c>
      <c r="D4" s="70" t="s">
        <v>65</v>
      </c>
      <c r="E4" s="71" t="s">
        <v>211</v>
      </c>
    </row>
    <row r="5" customFormat="false" ht="33.75" hidden="false" customHeight="true" outlineLevel="0" collapsed="false">
      <c r="A5" s="69" t="s">
        <v>212</v>
      </c>
      <c r="B5" s="4" t="s">
        <v>209</v>
      </c>
      <c r="C5" s="4" t="s">
        <v>213</v>
      </c>
      <c r="D5" s="70" t="s">
        <v>58</v>
      </c>
      <c r="E5" s="71" t="s">
        <v>211</v>
      </c>
    </row>
    <row r="6" customFormat="false" ht="33.75" hidden="false" customHeight="true" outlineLevel="0" collapsed="false">
      <c r="A6" s="69" t="s">
        <v>214</v>
      </c>
      <c r="B6" s="4" t="s">
        <v>215</v>
      </c>
      <c r="C6" s="4" t="s">
        <v>216</v>
      </c>
      <c r="D6" s="70" t="s">
        <v>136</v>
      </c>
      <c r="E6" s="71" t="s">
        <v>211</v>
      </c>
    </row>
    <row r="7" customFormat="false" ht="33.75" hidden="false" customHeight="true" outlineLevel="0" collapsed="false">
      <c r="A7" s="69" t="s">
        <v>217</v>
      </c>
      <c r="B7" s="4" t="s">
        <v>218</v>
      </c>
      <c r="C7" s="4" t="s">
        <v>219</v>
      </c>
      <c r="D7" s="70" t="s">
        <v>80</v>
      </c>
      <c r="E7" s="71" t="s">
        <v>211</v>
      </c>
    </row>
    <row r="8" customFormat="false" ht="33.75" hidden="false" customHeight="true" outlineLevel="0" collapsed="false">
      <c r="A8" s="69" t="s">
        <v>220</v>
      </c>
      <c r="B8" s="4" t="s">
        <v>221</v>
      </c>
      <c r="C8" s="4" t="s">
        <v>222</v>
      </c>
      <c r="D8" s="70" t="s">
        <v>66</v>
      </c>
      <c r="E8" s="72" t="s">
        <v>223</v>
      </c>
    </row>
    <row r="9" customFormat="false" ht="33.75" hidden="false" customHeight="true" outlineLevel="0" collapsed="false">
      <c r="A9" s="69" t="s">
        <v>224</v>
      </c>
      <c r="B9" s="4" t="s">
        <v>225</v>
      </c>
      <c r="C9" s="4" t="s">
        <v>226</v>
      </c>
      <c r="D9" s="70" t="s">
        <v>59</v>
      </c>
      <c r="E9" s="72" t="s">
        <v>223</v>
      </c>
    </row>
    <row r="10" customFormat="false" ht="33.75" hidden="false" customHeight="true" outlineLevel="0" collapsed="false">
      <c r="A10" s="69" t="s">
        <v>227</v>
      </c>
      <c r="B10" s="4" t="s">
        <v>228</v>
      </c>
      <c r="C10" s="4" t="s">
        <v>229</v>
      </c>
      <c r="D10" s="70" t="s">
        <v>142</v>
      </c>
      <c r="E10" s="72" t="s">
        <v>223</v>
      </c>
    </row>
    <row r="11" customFormat="false" ht="33.75" hidden="false" customHeight="true" outlineLevel="0" collapsed="false">
      <c r="A11" s="69" t="s">
        <v>230</v>
      </c>
      <c r="B11" s="4" t="s">
        <v>209</v>
      </c>
      <c r="C11" s="4" t="s">
        <v>231</v>
      </c>
      <c r="D11" s="70" t="s">
        <v>141</v>
      </c>
      <c r="E11" s="72" t="s">
        <v>223</v>
      </c>
    </row>
    <row r="12" customFormat="false" ht="33.75" hidden="false" customHeight="true" outlineLevel="0" collapsed="false">
      <c r="A12" s="69" t="s">
        <v>232</v>
      </c>
      <c r="B12" s="4" t="s">
        <v>233</v>
      </c>
      <c r="C12" s="4" t="s">
        <v>234</v>
      </c>
      <c r="D12" s="70" t="s">
        <v>147</v>
      </c>
      <c r="E12" s="72" t="s">
        <v>223</v>
      </c>
    </row>
    <row r="13" customFormat="false" ht="33.75" hidden="false" customHeight="true" outlineLevel="0" collapsed="false">
      <c r="A13" s="69" t="s">
        <v>235</v>
      </c>
      <c r="B13" s="4" t="s">
        <v>209</v>
      </c>
      <c r="C13" s="4" t="s">
        <v>236</v>
      </c>
      <c r="D13" s="70" t="s">
        <v>161</v>
      </c>
      <c r="E13" s="72" t="s">
        <v>223</v>
      </c>
    </row>
    <row r="14" customFormat="false" ht="33.75" hidden="false" customHeight="true" outlineLevel="0" collapsed="false">
      <c r="A14" s="69" t="s">
        <v>237</v>
      </c>
      <c r="B14" s="4" t="s">
        <v>209</v>
      </c>
      <c r="C14" s="4" t="s">
        <v>238</v>
      </c>
      <c r="D14" s="70" t="s">
        <v>175</v>
      </c>
      <c r="E14" s="72" t="s">
        <v>223</v>
      </c>
    </row>
    <row r="15" customFormat="false" ht="33.75" hidden="false" customHeight="true" outlineLevel="0" collapsed="false">
      <c r="A15" s="69" t="s">
        <v>239</v>
      </c>
      <c r="B15" s="4" t="s">
        <v>209</v>
      </c>
      <c r="C15" s="4" t="s">
        <v>240</v>
      </c>
      <c r="D15" s="70" t="s">
        <v>184</v>
      </c>
      <c r="E15" s="72" t="s">
        <v>223</v>
      </c>
    </row>
    <row r="16" customFormat="false" ht="33.75" hidden="false" customHeight="true" outlineLevel="0" collapsed="false">
      <c r="A16" s="69" t="s">
        <v>241</v>
      </c>
      <c r="B16" s="4" t="s">
        <v>242</v>
      </c>
      <c r="C16" s="4" t="s">
        <v>243</v>
      </c>
      <c r="D16" s="70" t="s">
        <v>170</v>
      </c>
      <c r="E16" s="73" t="s">
        <v>244</v>
      </c>
    </row>
    <row r="17" customFormat="false" ht="33.75" hidden="false" customHeight="true" outlineLevel="0" collapsed="false">
      <c r="A17" s="69" t="s">
        <v>245</v>
      </c>
      <c r="B17" s="4" t="s">
        <v>246</v>
      </c>
      <c r="C17" s="4" t="s">
        <v>247</v>
      </c>
      <c r="D17" s="70" t="s">
        <v>117</v>
      </c>
      <c r="E17" s="73" t="s">
        <v>244</v>
      </c>
    </row>
    <row r="18" customFormat="false" ht="33.75" hidden="false" customHeight="true" outlineLevel="0" collapsed="false">
      <c r="A18" s="69" t="s">
        <v>248</v>
      </c>
      <c r="B18" s="4" t="s">
        <v>249</v>
      </c>
      <c r="C18" s="4" t="s">
        <v>250</v>
      </c>
      <c r="D18" s="70" t="s">
        <v>198</v>
      </c>
      <c r="E18" s="73" t="s">
        <v>244</v>
      </c>
    </row>
  </sheetData>
  <mergeCells count="1">
    <mergeCell ref="A1:E1"/>
  </mergeCells>
  <hyperlinks>
    <hyperlink ref="D4" r:id="rId1" display="https://docs.ros.org/en/jazzy/Tutorials.html"/>
    <hyperlink ref="D5" r:id="rId2" display="https://docs.ros.org/en/jazzy/Installation.html"/>
    <hyperlink ref="D6" r:id="rId3" display="https://articulatedrobotics.xyz/category/build-a-mobile-robot-with-ros"/>
    <hyperlink ref="D7" r:id="rId4" display="https://www.youtube.com/@ArticulatedRobotics/videos"/>
    <hyperlink ref="D8" r:id="rId5" display="https://www.youtube.com/playlist?list=PL8MgID9MCju0GMQDTWzYmfiU3wY_Zdjl5"/>
    <hyperlink ref="D9" r:id="rId6" display="https://robocademy.com/blog/open-sourcing-ros-developer-learning-path-2-0-by-robocademy"/>
    <hyperlink ref="D10" r:id="rId7" display="https://github.com/gazebosim/ros_gz"/>
    <hyperlink ref="D11" r:id="rId8" display="https://gazebosim.org/docs/latest/ros_installation"/>
    <hyperlink ref="D12" r:id="rId9" display="https://ros2-tutorial.readthedocs.io/en/latest/gazebo/ros_gz_bridge.html"/>
    <hyperlink ref="D13" r:id="rId10" display="https://control.ros.org/jazzy/index.html"/>
    <hyperlink ref="D14" r:id="rId11" display="https://docs.nav2.org/jazzy/getting_started/"/>
    <hyperlink ref="D15" r:id="rId12" display="https://micro.ros.org/docs/tutorials/core/overview"/>
    <hyperlink ref="D16" r:id="rId13" display="https://automaticaddison.com/tutorials/"/>
    <hyperlink ref="D17" r:id="rId14" display="https://roboticsbackend.com"/>
    <hyperlink ref="D18" r:id="rId15" display="https://discourse.openrobotics.or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60"/>
    <col collapsed="false" customWidth="true" hidden="false" outlineLevel="0" max="5" min="5" style="0" width="14"/>
  </cols>
  <sheetData>
    <row r="1" customFormat="false" ht="30" hidden="false" customHeight="true" outlineLevel="0" collapsed="false">
      <c r="A1" s="27" t="s">
        <v>251</v>
      </c>
      <c r="B1" s="27"/>
      <c r="C1" s="27"/>
      <c r="D1" s="27"/>
      <c r="E1" s="27"/>
    </row>
    <row r="3" customFormat="false" ht="15" hidden="false" customHeight="false" outlineLevel="0" collapsed="false">
      <c r="A3" s="68" t="s">
        <v>252</v>
      </c>
      <c r="B3" s="68" t="s">
        <v>253</v>
      </c>
      <c r="C3" s="68" t="s">
        <v>254</v>
      </c>
      <c r="D3" s="68" t="s">
        <v>206</v>
      </c>
      <c r="E3" s="68" t="s">
        <v>255</v>
      </c>
    </row>
    <row r="4" customFormat="false" ht="51.75" hidden="false" customHeight="true" outlineLevel="0" collapsed="false">
      <c r="A4" s="74" t="s">
        <v>256</v>
      </c>
      <c r="B4" s="39" t="s">
        <v>257</v>
      </c>
      <c r="C4" s="40" t="s">
        <v>258</v>
      </c>
      <c r="D4" s="42" t="s">
        <v>104</v>
      </c>
      <c r="E4" s="41" t="n">
        <v>6</v>
      </c>
    </row>
    <row r="5" customFormat="false" ht="51.75" hidden="false" customHeight="true" outlineLevel="0" collapsed="false">
      <c r="A5" s="75" t="s">
        <v>259</v>
      </c>
      <c r="B5" s="46" t="s">
        <v>260</v>
      </c>
      <c r="C5" s="47" t="s">
        <v>261</v>
      </c>
      <c r="D5" s="49" t="s">
        <v>262</v>
      </c>
      <c r="E5" s="48" t="n">
        <v>8</v>
      </c>
    </row>
    <row r="6" customFormat="false" ht="51.75" hidden="false" customHeight="true" outlineLevel="0" collapsed="false">
      <c r="A6" s="76" t="s">
        <v>263</v>
      </c>
      <c r="B6" s="53" t="s">
        <v>264</v>
      </c>
      <c r="C6" s="54" t="s">
        <v>265</v>
      </c>
      <c r="D6" s="56" t="s">
        <v>175</v>
      </c>
      <c r="E6" s="55" t="n">
        <v>8</v>
      </c>
    </row>
    <row r="7" customFormat="false" ht="51.75" hidden="false" customHeight="true" outlineLevel="0" collapsed="false">
      <c r="A7" s="77" t="s">
        <v>266</v>
      </c>
      <c r="B7" s="32" t="s">
        <v>267</v>
      </c>
      <c r="C7" s="33" t="s">
        <v>268</v>
      </c>
      <c r="D7" s="35" t="s">
        <v>170</v>
      </c>
      <c r="E7" s="34" t="n">
        <v>8</v>
      </c>
    </row>
    <row r="8" customFormat="false" ht="51.75" hidden="false" customHeight="true" outlineLevel="0" collapsed="false">
      <c r="A8" s="78" t="s">
        <v>269</v>
      </c>
      <c r="B8" s="60" t="s">
        <v>270</v>
      </c>
      <c r="C8" s="61" t="s">
        <v>271</v>
      </c>
      <c r="D8" s="63" t="s">
        <v>198</v>
      </c>
      <c r="E8" s="62" t="n">
        <v>10</v>
      </c>
    </row>
    <row r="9" customFormat="false" ht="15" hidden="false" customHeight="false" outlineLevel="0" collapsed="false">
      <c r="D9" s="79" t="s">
        <v>272</v>
      </c>
      <c r="E9" s="80" t="n">
        <f aca="false">SUM(E4:E8)</f>
        <v>40</v>
      </c>
    </row>
    <row r="11" customFormat="false" ht="15" hidden="false" customHeight="false" outlineLevel="0" collapsed="false">
      <c r="A11" s="81" t="s">
        <v>273</v>
      </c>
    </row>
  </sheetData>
  <mergeCells count="1">
    <mergeCell ref="A1:E1"/>
  </mergeCells>
  <hyperlinks>
    <hyperlink ref="D4" r:id="rId1" display="https://docs.ros.org/en/jazzy/Tutorials/Intermediate.html"/>
    <hyperlink ref="D5" r:id="rId2" display="https://articulatedrobotics.xyz/mobile-robot-13-ros2-control-real/"/>
    <hyperlink ref="D6" r:id="rId3" display="https://docs.nav2.org/jazzy/getting_started/"/>
    <hyperlink ref="D7" r:id="rId4" display="https://automaticaddison.com/tutorials/"/>
    <hyperlink ref="D8" r:id="rId5" display="https://discourse.openrobotics.or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2026-10-19T06:12:09Z</dcterms:created>
  <dc:creator>openpyxl</dc:creator>
  <dc:description/>
  <dc:language>en-US</dc:language>
  <cp:lastModifiedBy/>
  <dcterms:modified xsi:type="dcterms:W3CDTF">2026-10-19T06:12:10Z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